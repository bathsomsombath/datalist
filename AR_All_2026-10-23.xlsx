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R Open" sheetId="2" state="visible" r:id="rId4"/>
    <sheet name="Paid - CR match" sheetId="3" state="visible" r:id="rId5"/>
  </sheets>
  <definedNames>
    <definedName function="false" hidden="true" localSheetId="1" name="_xlnm._FilterDatabase" vbProcedure="false">'AR Open'!$A$1:$M$277</definedName>
    <definedName function="false" hidden="true" localSheetId="2" name="_xlnm._FilterDatabase" vbProcedure="false">'Paid - CR match'!$A$3:$L$49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<sst xmlns="http://schemas.openxmlformats.org/spreadsheetml/2006/main" count="2368" uniqueCount="859">
  <si>
    <t xml:space="preserve">AR summary – Quick Lane (Co 26 basis, USD)</t>
  </si>
  <si>
    <t xml:space="preserve">As-of date</t>
  </si>
  <si>
    <t xml:space="preserve">Account</t>
  </si>
  <si>
    <t xml:space="preserve">Name</t>
  </si>
  <si>
    <t xml:space="preserve">Open docs</t>
  </si>
  <si>
    <t xml:space="preserve">Open ($)</t>
  </si>
  <si>
    <t xml:space="preserve">Overdue ($)</t>
  </si>
  <si>
    <t xml:space="preserve">Over 90 days ($)</t>
  </si>
  <si>
    <t xml:space="preserve">Paid, not posted (docs)</t>
  </si>
  <si>
    <t xml:space="preserve">Paid, not posted ($)</t>
  </si>
  <si>
    <t xml:space="preserve">B0002</t>
  </si>
  <si>
    <t xml:space="preserve">Lao Brewery Co., Ltd (Beerlao)</t>
  </si>
  <si>
    <t xml:space="preserve">P0009</t>
  </si>
  <si>
    <t xml:space="preserve">Phubia Mining</t>
  </si>
  <si>
    <t xml:space="preserve">V0197</t>
  </si>
  <si>
    <t xml:space="preserve">I0021</t>
  </si>
  <si>
    <t xml:space="preserve">B0010</t>
  </si>
  <si>
    <t xml:space="preserve">Burapha Agro Forestry</t>
  </si>
  <si>
    <t xml:space="preserve">M0610</t>
  </si>
  <si>
    <t xml:space="preserve">Mekong Timber Plantations</t>
  </si>
  <si>
    <t xml:space="preserve">E0089</t>
  </si>
  <si>
    <t xml:space="preserve">B0137</t>
  </si>
  <si>
    <t xml:space="preserve">TPLUS Digital Sole Co., Ltd (Vimpelcom Lao)</t>
  </si>
  <si>
    <t xml:space="preserve">C0006</t>
  </si>
  <si>
    <t xml:space="preserve">Cash Sale QL</t>
  </si>
  <si>
    <t xml:space="preserve">A0238</t>
  </si>
  <si>
    <t xml:space="preserve">U0006</t>
  </si>
  <si>
    <t xml:space="preserve">UXO Lao</t>
  </si>
  <si>
    <t xml:space="preserve">M0662</t>
  </si>
  <si>
    <t xml:space="preserve">Mascot International - Lao Sole Co. Ltd</t>
  </si>
  <si>
    <t xml:space="preserve">C0038</t>
  </si>
  <si>
    <t xml:space="preserve">Comin Laos Sole PTE</t>
  </si>
  <si>
    <t xml:space="preserve">B0205</t>
  </si>
  <si>
    <t xml:space="preserve">L0033</t>
  </si>
  <si>
    <t xml:space="preserve">G0096</t>
  </si>
  <si>
    <t xml:space="preserve">V0006</t>
  </si>
  <si>
    <t xml:space="preserve">P0299</t>
  </si>
  <si>
    <t xml:space="preserve">L0406</t>
  </si>
  <si>
    <t xml:space="preserve">D0107</t>
  </si>
  <si>
    <t xml:space="preserve">A0186</t>
  </si>
  <si>
    <t xml:space="preserve">M0472</t>
  </si>
  <si>
    <t xml:space="preserve">C0179</t>
  </si>
  <si>
    <t xml:space="preserve">Total</t>
  </si>
  <si>
    <t xml:space="preserve">Notes</t>
  </si>
  <si>
    <t xml:space="preserve">AVIS (A0010) is excluded from this report as requested (96 docs, $34,135.07 still in Supabase).</t>
  </si>
  <si>
    <t xml:space="preserve">Source: Supabase ql_ar_track (project operation), exported 23/10/2026. Amounts in USD as stored.</t>
  </si>
  <si>
    <t xml:space="preserve">Ledger checked today against pasted Autoline statements (Co 26 only): C0006, B0002, C0038, I0021, M0662, B0010, B0205, E0089, P0299, B0137, V0197, P0009. Other accounts last loaded 21/10.</t>
  </si>
  <si>
    <t xml:space="preserve">'Paid, not posted' = Supabase says paid, Autoline still shows it open (finance must post the receipt). Match each to Suphutta (Kitty)'s CR email in column K of the 'Paid - CR match' sheet.</t>
  </si>
  <si>
    <t xml:space="preserve">Not Co 26 but still in Supabase: B0002 doc 227796 (-154.55) and B0010 doc 18740 (492.16). Not removed.</t>
  </si>
  <si>
    <t xml:space="preserve">Pending offsets in Autoline: M0662 6139281 / 6201131 (764.65); B0010 6139089 / 6201132 (89.38); P0009 6139106 / 6201133 (206.40) and 6138770 / 6201126 (671.50).</t>
  </si>
  <si>
    <t xml:space="preserve">Document</t>
  </si>
  <si>
    <t xml:space="preserve">Type</t>
  </si>
  <si>
    <t xml:space="preserve">WIP</t>
  </si>
  <si>
    <t xml:space="preserve">Customer ref</t>
  </si>
  <si>
    <t xml:space="preserve">Doc date</t>
  </si>
  <si>
    <t xml:space="preserve">Due date</t>
  </si>
  <si>
    <t xml:space="preserve">Amount ($)</t>
  </si>
  <si>
    <t xml:space="preserve">Days overdue</t>
  </si>
  <si>
    <t xml:space="preserve">Aging</t>
  </si>
  <si>
    <t xml:space="preserve">AR comment</t>
  </si>
  <si>
    <t xml:space="preserve">Last seen</t>
  </si>
  <si>
    <t xml:space="preserve">6138743</t>
  </si>
  <si>
    <t xml:space="preserve">I</t>
  </si>
  <si>
    <t xml:space="preserve">27500</t>
  </si>
  <si>
    <t xml:space="preserve">BESTTELECO</t>
  </si>
  <si>
    <t xml:space="preserve">z</t>
  </si>
  <si>
    <t xml:space="preserve">16687</t>
  </si>
  <si>
    <t xml:space="preserve">A</t>
  </si>
  <si>
    <t xml:space="preserve">10692</t>
  </si>
  <si>
    <t xml:space="preserve">6116798</t>
  </si>
  <si>
    <t xml:space="preserve">Confirm with Sanya | Labor cost for Phubia Ming</t>
  </si>
  <si>
    <t xml:space="preserve">16688</t>
  </si>
  <si>
    <t xml:space="preserve">17925</t>
  </si>
  <si>
    <t xml:space="preserve">6124133</t>
  </si>
  <si>
    <t xml:space="preserve">16690</t>
  </si>
  <si>
    <t xml:space="preserve">6123738</t>
  </si>
  <si>
    <t xml:space="preserve">6127519</t>
  </si>
  <si>
    <t xml:space="preserve">20942</t>
  </si>
  <si>
    <t xml:space="preserve">DO</t>
  </si>
  <si>
    <t xml:space="preserve">àºàº³àºàºµà»àº­à»àº¥à»àº§àºà»àº²àºàºµà»àº­àº­àº­àº</t>
  </si>
  <si>
    <t xml:space="preserve">6127567</t>
  </si>
  <si>
    <t xml:space="preserve">21226</t>
  </si>
  <si>
    <t xml:space="preserve">KM 12 THADEUA RD</t>
  </si>
  <si>
    <t xml:space="preserve">6127576</t>
  </si>
  <si>
    <t xml:space="preserve">20850</t>
  </si>
  <si>
    <t xml:space="preserve">6127616</t>
  </si>
  <si>
    <t xml:space="preserve">20947</t>
  </si>
  <si>
    <t xml:space="preserve">6127623</t>
  </si>
  <si>
    <t xml:space="preserve">21055</t>
  </si>
  <si>
    <t xml:space="preserve">6127624</t>
  </si>
  <si>
    <t xml:space="preserve">20889</t>
  </si>
  <si>
    <t xml:space="preserve">6127626</t>
  </si>
  <si>
    <t xml:space="preserve">21053</t>
  </si>
  <si>
    <t xml:space="preserve">6127627</t>
  </si>
  <si>
    <t xml:space="preserve">21125</t>
  </si>
  <si>
    <t xml:space="preserve">6127855</t>
  </si>
  <si>
    <t xml:space="preserve">20893</t>
  </si>
  <si>
    <t xml:space="preserve">6127992</t>
  </si>
  <si>
    <t xml:space="preserve">21947</t>
  </si>
  <si>
    <t xml:space="preserve">BEERLAOBRE</t>
  </si>
  <si>
    <t xml:space="preserve">6128006</t>
  </si>
  <si>
    <t xml:space="preserve">21921</t>
  </si>
  <si>
    <t xml:space="preserve">6128113</t>
  </si>
  <si>
    <t xml:space="preserve">22000</t>
  </si>
  <si>
    <t xml:space="preserve">JUELANDERS</t>
  </si>
  <si>
    <t xml:space="preserve">6128116</t>
  </si>
  <si>
    <t xml:space="preserve">20957</t>
  </si>
  <si>
    <t xml:space="preserve">6128152</t>
  </si>
  <si>
    <t xml:space="preserve">21619</t>
  </si>
  <si>
    <t xml:space="preserve">6128154</t>
  </si>
  <si>
    <t xml:space="preserve">22084</t>
  </si>
  <si>
    <t xml:space="preserve">LAOBREWERY</t>
  </si>
  <si>
    <t xml:space="preserve">6128302</t>
  </si>
  <si>
    <t xml:space="preserve">21976</t>
  </si>
  <si>
    <t xml:space="preserve">6128313</t>
  </si>
  <si>
    <t xml:space="preserve">22093</t>
  </si>
  <si>
    <t xml:space="preserve">6128328</t>
  </si>
  <si>
    <t xml:space="preserve">20999</t>
  </si>
  <si>
    <t xml:space="preserve">6128357</t>
  </si>
  <si>
    <t xml:space="preserve">21995</t>
  </si>
  <si>
    <t xml:space="preserve">BEERLAO</t>
  </si>
  <si>
    <t xml:space="preserve">6128365</t>
  </si>
  <si>
    <t xml:space="preserve">22258</t>
  </si>
  <si>
    <t xml:space="preserve">MR</t>
  </si>
  <si>
    <t xml:space="preserve">6128373</t>
  </si>
  <si>
    <t xml:space="preserve">21148</t>
  </si>
  <si>
    <t xml:space="preserve">6128389</t>
  </si>
  <si>
    <t xml:space="preserve">22282</t>
  </si>
  <si>
    <t xml:space="preserve">6128757</t>
  </si>
  <si>
    <t xml:space="preserve">22669</t>
  </si>
  <si>
    <t xml:space="preserve">SAYSANA</t>
  </si>
  <si>
    <t xml:space="preserve">6128903</t>
  </si>
  <si>
    <t xml:space="preserve">22853</t>
  </si>
  <si>
    <t xml:space="preserve">COMPANY</t>
  </si>
  <si>
    <t xml:space="preserve">6128959</t>
  </si>
  <si>
    <t xml:space="preserve">22962</t>
  </si>
  <si>
    <t xml:space="preserve">BREWERYCOL</t>
  </si>
  <si>
    <t xml:space="preserve">6129074</t>
  </si>
  <si>
    <t xml:space="preserve">23103</t>
  </si>
  <si>
    <t xml:space="preserve">BEERLAOCOM</t>
  </si>
  <si>
    <t xml:space="preserve">6129501</t>
  </si>
  <si>
    <t xml:space="preserve">23455</t>
  </si>
  <si>
    <t xml:space="preserve">6129515</t>
  </si>
  <si>
    <t xml:space="preserve">23051</t>
  </si>
  <si>
    <t xml:space="preserve">àºàºµà»àº­àº«àº¼àº¸àºà»àºàº´àº6à»àºàº·àº­àº</t>
  </si>
  <si>
    <t xml:space="preserve">6129524</t>
  </si>
  <si>
    <t xml:space="preserve">23170</t>
  </si>
  <si>
    <t xml:space="preserve">6129530</t>
  </si>
  <si>
    <t xml:space="preserve">22926</t>
  </si>
  <si>
    <t xml:space="preserve">MR CHANTHI</t>
  </si>
  <si>
    <t xml:space="preserve">6129753</t>
  </si>
  <si>
    <t xml:space="preserve">21019</t>
  </si>
  <si>
    <t xml:space="preserve">6129815</t>
  </si>
  <si>
    <t xml:space="preserve">19903</t>
  </si>
  <si>
    <t xml:space="preserve">6129816</t>
  </si>
  <si>
    <t xml:space="preserve">22996</t>
  </si>
  <si>
    <t xml:space="preserve">6129824</t>
  </si>
  <si>
    <t xml:space="preserve">23143</t>
  </si>
  <si>
    <t xml:space="preserve">6129826</t>
  </si>
  <si>
    <t xml:space="preserve">23552</t>
  </si>
  <si>
    <t xml:space="preserve">SOULIDETH</t>
  </si>
  <si>
    <t xml:space="preserve">227796</t>
  </si>
  <si>
    <t xml:space="preserve">P</t>
  </si>
  <si>
    <t xml:space="preserve">RF25120102</t>
  </si>
  <si>
    <t xml:space="preserve">6130317</t>
  </si>
  <si>
    <t xml:space="preserve">23577</t>
  </si>
  <si>
    <t xml:space="preserve">6130319</t>
  </si>
  <si>
    <t xml:space="preserve">23803</t>
  </si>
  <si>
    <t xml:space="preserve">6130320</t>
  </si>
  <si>
    <t xml:space="preserve">23576</t>
  </si>
  <si>
    <t xml:space="preserve">BEERLAOBEW</t>
  </si>
  <si>
    <t xml:space="preserve">6130430</t>
  </si>
  <si>
    <t xml:space="preserve">24012</t>
  </si>
  <si>
    <t xml:space="preserve">6130431</t>
  </si>
  <si>
    <t xml:space="preserve">23569</t>
  </si>
  <si>
    <t xml:space="preserve">6130432</t>
  </si>
  <si>
    <t xml:space="preserve">23507</t>
  </si>
  <si>
    <t xml:space="preserve">6130433</t>
  </si>
  <si>
    <t xml:space="preserve">23670</t>
  </si>
  <si>
    <t xml:space="preserve">6130434</t>
  </si>
  <si>
    <t xml:space="preserve">23478</t>
  </si>
  <si>
    <t xml:space="preserve">6130435</t>
  </si>
  <si>
    <t xml:space="preserve">22541</t>
  </si>
  <si>
    <t xml:space="preserve">6130436</t>
  </si>
  <si>
    <t xml:space="preserve">24026</t>
  </si>
  <si>
    <t xml:space="preserve">6130437</t>
  </si>
  <si>
    <t xml:space="preserve">23949</t>
  </si>
  <si>
    <t xml:space="preserve">6130438</t>
  </si>
  <si>
    <t xml:space="preserve">23806</t>
  </si>
  <si>
    <t xml:space="preserve">6130479</t>
  </si>
  <si>
    <t xml:space="preserve">22035</t>
  </si>
  <si>
    <t xml:space="preserve">6130663</t>
  </si>
  <si>
    <t xml:space="preserve">22904</t>
  </si>
  <si>
    <t xml:space="preserve">JUELANDRES</t>
  </si>
  <si>
    <t xml:space="preserve">6130664</t>
  </si>
  <si>
    <t xml:space="preserve">24328</t>
  </si>
  <si>
    <t xml:space="preserve">6130666</t>
  </si>
  <si>
    <t xml:space="preserve">24171</t>
  </si>
  <si>
    <t xml:space="preserve">NARMMANY</t>
  </si>
  <si>
    <t xml:space="preserve">6130667</t>
  </si>
  <si>
    <t xml:space="preserve">24146</t>
  </si>
  <si>
    <t xml:space="preserve">6130668</t>
  </si>
  <si>
    <t xml:space="preserve">24104</t>
  </si>
  <si>
    <t xml:space="preserve">6130669</t>
  </si>
  <si>
    <t xml:space="preserve">24033</t>
  </si>
  <si>
    <t xml:space="preserve">6130670</t>
  </si>
  <si>
    <t xml:space="preserve">23521</t>
  </si>
  <si>
    <t xml:space="preserve">6130692</t>
  </si>
  <si>
    <t xml:space="preserve">23701</t>
  </si>
  <si>
    <t xml:space="preserve">6130693</t>
  </si>
  <si>
    <t xml:space="preserve">23580</t>
  </si>
  <si>
    <t xml:space="preserve">6130694</t>
  </si>
  <si>
    <t xml:space="preserve">23815</t>
  </si>
  <si>
    <t xml:space="preserve">6130882</t>
  </si>
  <si>
    <t xml:space="preserve">24563</t>
  </si>
  <si>
    <t xml:space="preserve">6130897</t>
  </si>
  <si>
    <t xml:space="preserve">23553</t>
  </si>
  <si>
    <t xml:space="preserve">6130910</t>
  </si>
  <si>
    <t xml:space="preserve">24634</t>
  </si>
  <si>
    <t xml:space="preserve">MUEAN</t>
  </si>
  <si>
    <t xml:space="preserve">6130919</t>
  </si>
  <si>
    <t xml:space="preserve">20719</t>
  </si>
  <si>
    <t xml:space="preserve">6131002</t>
  </si>
  <si>
    <t xml:space="preserve">24399</t>
  </si>
  <si>
    <t xml:space="preserve">6131228</t>
  </si>
  <si>
    <t xml:space="preserve">24338</t>
  </si>
  <si>
    <t xml:space="preserve">6131443</t>
  </si>
  <si>
    <t xml:space="preserve">24766</t>
  </si>
  <si>
    <t xml:space="preserve">6131536</t>
  </si>
  <si>
    <t xml:space="preserve">25248</t>
  </si>
  <si>
    <t xml:space="preserve">6131539</t>
  </si>
  <si>
    <t xml:space="preserve">25185</t>
  </si>
  <si>
    <t xml:space="preserve">6131817</t>
  </si>
  <si>
    <t xml:space="preserve">25170</t>
  </si>
  <si>
    <t xml:space="preserve">6131820</t>
  </si>
  <si>
    <t xml:space="preserve">25183</t>
  </si>
  <si>
    <t xml:space="preserve">6132785</t>
  </si>
  <si>
    <t xml:space="preserve">25129</t>
  </si>
  <si>
    <t xml:space="preserve">6132787</t>
  </si>
  <si>
    <t xml:space="preserve">24784</t>
  </si>
  <si>
    <t xml:space="preserve">6132788</t>
  </si>
  <si>
    <t xml:space="preserve">24785</t>
  </si>
  <si>
    <t xml:space="preserve">6132789</t>
  </si>
  <si>
    <t xml:space="preserve">24858</t>
  </si>
  <si>
    <t xml:space="preserve">6133069</t>
  </si>
  <si>
    <t xml:space="preserve">25193</t>
  </si>
  <si>
    <t xml:space="preserve">6133080</t>
  </si>
  <si>
    <t xml:space="preserve">25017</t>
  </si>
  <si>
    <t xml:space="preserve">6133090</t>
  </si>
  <si>
    <t xml:space="preserve">25018</t>
  </si>
  <si>
    <t xml:space="preserve">6133501</t>
  </si>
  <si>
    <t xml:space="preserve">25880</t>
  </si>
  <si>
    <t xml:space="preserve">6134029</t>
  </si>
  <si>
    <t xml:space="preserve">25630</t>
  </si>
  <si>
    <t xml:space="preserve">6134062</t>
  </si>
  <si>
    <t xml:space="preserve">25512</t>
  </si>
  <si>
    <t xml:space="preserve">6134063</t>
  </si>
  <si>
    <t xml:space="preserve">25508</t>
  </si>
  <si>
    <t xml:space="preserve">6134079</t>
  </si>
  <si>
    <t xml:space="preserve">25232</t>
  </si>
  <si>
    <t xml:space="preserve">SANTISOUK</t>
  </si>
  <si>
    <t xml:space="preserve">6134112</t>
  </si>
  <si>
    <t xml:space="preserve">25663</t>
  </si>
  <si>
    <t xml:space="preserve">LAOBEWERY</t>
  </si>
  <si>
    <t xml:space="preserve">6134135</t>
  </si>
  <si>
    <t xml:space="preserve">26192</t>
  </si>
  <si>
    <t xml:space="preserve">6134136</t>
  </si>
  <si>
    <t xml:space="preserve">26154</t>
  </si>
  <si>
    <t xml:space="preserve">XAYSAVATH</t>
  </si>
  <si>
    <t xml:space="preserve">6134138</t>
  </si>
  <si>
    <t xml:space="preserve">26198</t>
  </si>
  <si>
    <t xml:space="preserve">6134740</t>
  </si>
  <si>
    <t xml:space="preserve">26287</t>
  </si>
  <si>
    <t xml:space="preserve">6134743</t>
  </si>
  <si>
    <t xml:space="preserve">26259</t>
  </si>
  <si>
    <t xml:space="preserve">6134744</t>
  </si>
  <si>
    <t xml:space="preserve">26261</t>
  </si>
  <si>
    <t xml:space="preserve">6134745</t>
  </si>
  <si>
    <t xml:space="preserve">26272</t>
  </si>
  <si>
    <t xml:space="preserve">6134746</t>
  </si>
  <si>
    <t xml:space="preserve">26205</t>
  </si>
  <si>
    <t xml:space="preserve">6134749</t>
  </si>
  <si>
    <t xml:space="preserve">26286</t>
  </si>
  <si>
    <t xml:space="preserve">6134750</t>
  </si>
  <si>
    <t xml:space="preserve">26276</t>
  </si>
  <si>
    <t xml:space="preserve">6134909</t>
  </si>
  <si>
    <t xml:space="preserve">26328</t>
  </si>
  <si>
    <t xml:space="preserve">6134974</t>
  </si>
  <si>
    <t xml:space="preserve">26464</t>
  </si>
  <si>
    <t xml:space="preserve">6134975</t>
  </si>
  <si>
    <t xml:space="preserve">26315</t>
  </si>
  <si>
    <t xml:space="preserve">6134984</t>
  </si>
  <si>
    <t xml:space="preserve">26399</t>
  </si>
  <si>
    <t xml:space="preserve">6135068</t>
  </si>
  <si>
    <t xml:space="preserve">26217</t>
  </si>
  <si>
    <t xml:space="preserve">6135345</t>
  </si>
  <si>
    <t xml:space="preserve">26478</t>
  </si>
  <si>
    <t xml:space="preserve">6135350</t>
  </si>
  <si>
    <t xml:space="preserve">26425</t>
  </si>
  <si>
    <t xml:space="preserve">6135351</t>
  </si>
  <si>
    <t xml:space="preserve">26505</t>
  </si>
  <si>
    <t xml:space="preserve">6135382</t>
  </si>
  <si>
    <t xml:space="preserve">26493</t>
  </si>
  <si>
    <t xml:space="preserve">BOUALIVONG</t>
  </si>
  <si>
    <t xml:space="preserve">6135383</t>
  </si>
  <si>
    <t xml:space="preserve">26516</t>
  </si>
  <si>
    <t xml:space="preserve">6135430</t>
  </si>
  <si>
    <t xml:space="preserve">26329</t>
  </si>
  <si>
    <t xml:space="preserve">6135564</t>
  </si>
  <si>
    <t xml:space="preserve">26504</t>
  </si>
  <si>
    <t xml:space="preserve">6135565</t>
  </si>
  <si>
    <t xml:space="preserve">26358</t>
  </si>
  <si>
    <t xml:space="preserve">6135567</t>
  </si>
  <si>
    <t xml:space="preserve">26260</t>
  </si>
  <si>
    <t xml:space="preserve">6135569</t>
  </si>
  <si>
    <t xml:space="preserve">26222</t>
  </si>
  <si>
    <t xml:space="preserve">6135682</t>
  </si>
  <si>
    <t xml:space="preserve">26484</t>
  </si>
  <si>
    <t xml:space="preserve">6135934</t>
  </si>
  <si>
    <t xml:space="preserve">26670</t>
  </si>
  <si>
    <t xml:space="preserve">6136167</t>
  </si>
  <si>
    <t xml:space="preserve">26592</t>
  </si>
  <si>
    <t xml:space="preserve">KHAOKHONG</t>
  </si>
  <si>
    <t xml:space="preserve">6136169</t>
  </si>
  <si>
    <t xml:space="preserve">26628</t>
  </si>
  <si>
    <t xml:space="preserve">6136170</t>
  </si>
  <si>
    <t xml:space="preserve">26640</t>
  </si>
  <si>
    <t xml:space="preserve">6136171</t>
  </si>
  <si>
    <t xml:space="preserve">26642</t>
  </si>
  <si>
    <t xml:space="preserve">6136176</t>
  </si>
  <si>
    <t xml:space="preserve">26735</t>
  </si>
  <si>
    <t xml:space="preserve">6136333</t>
  </si>
  <si>
    <t xml:space="preserve">26798</t>
  </si>
  <si>
    <t xml:space="preserve">6136334</t>
  </si>
  <si>
    <t xml:space="preserve">26777</t>
  </si>
  <si>
    <t xml:space="preserve">6136506</t>
  </si>
  <si>
    <t xml:space="preserve">26826</t>
  </si>
  <si>
    <t xml:space="preserve">6136507</t>
  </si>
  <si>
    <t xml:space="preserve">26833</t>
  </si>
  <si>
    <t xml:space="preserve">6136508</t>
  </si>
  <si>
    <t xml:space="preserve">26840</t>
  </si>
  <si>
    <t xml:space="preserve">6136509</t>
  </si>
  <si>
    <t xml:space="preserve">26859</t>
  </si>
  <si>
    <t xml:space="preserve">6136690</t>
  </si>
  <si>
    <t xml:space="preserve">26889</t>
  </si>
  <si>
    <t xml:space="preserve">6136691</t>
  </si>
  <si>
    <t xml:space="preserve">26864</t>
  </si>
  <si>
    <t xml:space="preserve">6136740</t>
  </si>
  <si>
    <t xml:space="preserve">26944</t>
  </si>
  <si>
    <t xml:space="preserve">6136742</t>
  </si>
  <si>
    <t xml:space="preserve">26913</t>
  </si>
  <si>
    <t xml:space="preserve">6136743</t>
  </si>
  <si>
    <t xml:space="preserve">26865</t>
  </si>
  <si>
    <t xml:space="preserve">6136744</t>
  </si>
  <si>
    <t xml:space="preserve">26204</t>
  </si>
  <si>
    <t xml:space="preserve">6136745</t>
  </si>
  <si>
    <t xml:space="preserve">26841</t>
  </si>
  <si>
    <t xml:space="preserve">6136943</t>
  </si>
  <si>
    <t xml:space="preserve">27001</t>
  </si>
  <si>
    <t xml:space="preserve">6137047</t>
  </si>
  <si>
    <t xml:space="preserve">26938</t>
  </si>
  <si>
    <t xml:space="preserve">6137126</t>
  </si>
  <si>
    <t xml:space="preserve">27000</t>
  </si>
  <si>
    <t xml:space="preserve">6137127</t>
  </si>
  <si>
    <t xml:space="preserve">27033</t>
  </si>
  <si>
    <t xml:space="preserve">6137132</t>
  </si>
  <si>
    <t xml:space="preserve">27046</t>
  </si>
  <si>
    <t xml:space="preserve">6137164</t>
  </si>
  <si>
    <t xml:space="preserve">26914</t>
  </si>
  <si>
    <t xml:space="preserve">6137224</t>
  </si>
  <si>
    <t xml:space="preserve">26832</t>
  </si>
  <si>
    <t xml:space="preserve">6137458</t>
  </si>
  <si>
    <t xml:space="preserve">27070</t>
  </si>
  <si>
    <t xml:space="preserve">6137540</t>
  </si>
  <si>
    <t xml:space="preserve">27047</t>
  </si>
  <si>
    <t xml:space="preserve">6137541</t>
  </si>
  <si>
    <t xml:space="preserve">27132</t>
  </si>
  <si>
    <t xml:space="preserve">6137542</t>
  </si>
  <si>
    <t xml:space="preserve">27164</t>
  </si>
  <si>
    <t xml:space="preserve">6137543</t>
  </si>
  <si>
    <t xml:space="preserve">27160</t>
  </si>
  <si>
    <t xml:space="preserve">àºà»àº²àºàºµà»àº­</t>
  </si>
  <si>
    <t xml:space="preserve">6137633</t>
  </si>
  <si>
    <t xml:space="preserve">26396</t>
  </si>
  <si>
    <t xml:space="preserve">6137639</t>
  </si>
  <si>
    <t xml:space="preserve">26939</t>
  </si>
  <si>
    <t xml:space="preserve">6137732</t>
  </si>
  <si>
    <t xml:space="preserve">27133</t>
  </si>
  <si>
    <t xml:space="preserve">6137733</t>
  </si>
  <si>
    <t xml:space="preserve">27225</t>
  </si>
  <si>
    <t xml:space="preserve">6137923</t>
  </si>
  <si>
    <t xml:space="preserve">27281</t>
  </si>
  <si>
    <t xml:space="preserve">6137924</t>
  </si>
  <si>
    <t xml:space="preserve">27032</t>
  </si>
  <si>
    <t xml:space="preserve">6137941</t>
  </si>
  <si>
    <t xml:space="preserve">26868</t>
  </si>
  <si>
    <t xml:space="preserve">6137942</t>
  </si>
  <si>
    <t xml:space="preserve">27200</t>
  </si>
  <si>
    <t xml:space="preserve">6138045</t>
  </si>
  <si>
    <t xml:space="preserve">27199</t>
  </si>
  <si>
    <t xml:space="preserve">6138093</t>
  </si>
  <si>
    <t xml:space="preserve">27307</t>
  </si>
  <si>
    <t xml:space="preserve">6138095</t>
  </si>
  <si>
    <t xml:space="preserve">26945</t>
  </si>
  <si>
    <t xml:space="preserve">6138175</t>
  </si>
  <si>
    <t xml:space="preserve">27343</t>
  </si>
  <si>
    <t xml:space="preserve">6138176</t>
  </si>
  <si>
    <t xml:space="preserve">27282</t>
  </si>
  <si>
    <t xml:space="preserve">6138209</t>
  </si>
  <si>
    <t xml:space="preserve">27226</t>
  </si>
  <si>
    <t xml:space="preserve">6138305</t>
  </si>
  <si>
    <t xml:space="preserve">27346</t>
  </si>
  <si>
    <t xml:space="preserve">6138404</t>
  </si>
  <si>
    <t xml:space="preserve">27335</t>
  </si>
  <si>
    <t xml:space="preserve">6138598</t>
  </si>
  <si>
    <t xml:space="preserve">27410</t>
  </si>
  <si>
    <t xml:space="preserve">6138615</t>
  </si>
  <si>
    <t xml:space="preserve">27348</t>
  </si>
  <si>
    <t xml:space="preserve">6138807</t>
  </si>
  <si>
    <t xml:space="preserve">27496</t>
  </si>
  <si>
    <t xml:space="preserve">6138976</t>
  </si>
  <si>
    <t xml:space="preserve">27308</t>
  </si>
  <si>
    <t xml:space="preserve">6138977</t>
  </si>
  <si>
    <t xml:space="preserve">27451</t>
  </si>
  <si>
    <t xml:space="preserve">6139093</t>
  </si>
  <si>
    <t xml:space="preserve">27385</t>
  </si>
  <si>
    <t xml:space="preserve">6139373</t>
  </si>
  <si>
    <t xml:space="preserve">27571</t>
  </si>
  <si>
    <t xml:space="preserve">6139374</t>
  </si>
  <si>
    <t xml:space="preserve">27600</t>
  </si>
  <si>
    <t xml:space="preserve">6139376</t>
  </si>
  <si>
    <t xml:space="preserve">27639</t>
  </si>
  <si>
    <t xml:space="preserve">6128311</t>
  </si>
  <si>
    <t xml:space="preserve">21231</t>
  </si>
  <si>
    <t xml:space="preserve">BURAOHA AG</t>
  </si>
  <si>
    <t xml:space="preserve">àºà»à»àºà»àº²àº</t>
  </si>
  <si>
    <t xml:space="preserve">6130651</t>
  </si>
  <si>
    <t xml:space="preserve">24421</t>
  </si>
  <si>
    <t xml:space="preserve">BURAPHAAGR</t>
  </si>
  <si>
    <t xml:space="preserve">18740</t>
  </si>
  <si>
    <t xml:space="preserve">6130426</t>
  </si>
  <si>
    <t xml:space="preserve">6138511</t>
  </si>
  <si>
    <t xml:space="preserve">27411</t>
  </si>
  <si>
    <t xml:space="preserve">SOMCHAI</t>
  </si>
  <si>
    <t xml:space="preserve">Will pay by due date</t>
  </si>
  <si>
    <t xml:space="preserve">6138779</t>
  </si>
  <si>
    <t xml:space="preserve">27459</t>
  </si>
  <si>
    <t xml:space="preserve">6139074</t>
  </si>
  <si>
    <t xml:space="preserve">27528</t>
  </si>
  <si>
    <t xml:space="preserve">6139089</t>
  </si>
  <si>
    <t xml:space="preserve">27573</t>
  </si>
  <si>
    <t xml:space="preserve">6201132</t>
  </si>
  <si>
    <t xml:space="preserve">C</t>
  </si>
  <si>
    <t xml:space="preserve">6137605</t>
  </si>
  <si>
    <t xml:space="preserve">26370</t>
  </si>
  <si>
    <t xml:space="preserve">14 Lane Xang Ave., P</t>
  </si>
  <si>
    <t xml:space="preserve">àºàº±àºàºà»à»àºà»àº²àº</t>
  </si>
  <si>
    <t xml:space="preserve">6138858</t>
  </si>
  <si>
    <t xml:space="preserve">27381</t>
  </si>
  <si>
    <t xml:space="preserve">àºà»àº²àºàºàº²àº¡àºàº¹à»àºàº</t>
  </si>
  <si>
    <t xml:space="preserve">6139505</t>
  </si>
  <si>
    <t xml:space="preserve">27380</t>
  </si>
  <si>
    <t xml:space="preserve">OUNKHAM</t>
  </si>
  <si>
    <t xml:space="preserve">6139063</t>
  </si>
  <si>
    <t xml:space="preserve">27205</t>
  </si>
  <si>
    <t xml:space="preserve">Phonsinuan Village</t>
  </si>
  <si>
    <t xml:space="preserve">6139064</t>
  </si>
  <si>
    <t xml:space="preserve">27479</t>
  </si>
  <si>
    <t xml:space="preserve">230883</t>
  </si>
  <si>
    <t xml:space="preserve">24690</t>
  </si>
  <si>
    <t xml:space="preserve">RF25101446</t>
  </si>
  <si>
    <t xml:space="preserve">à»àºàº´àºà»àº«àº¼àº·àº­</t>
  </si>
  <si>
    <t xml:space="preserve">252337</t>
  </si>
  <si>
    <t xml:space="preserve">27106</t>
  </si>
  <si>
    <t xml:space="preserve">RF26081139</t>
  </si>
  <si>
    <t xml:space="preserve">The spare parts have not arrived yet</t>
  </si>
  <si>
    <t xml:space="preserve">252329</t>
  </si>
  <si>
    <t xml:space="preserve">27161</t>
  </si>
  <si>
    <t xml:space="preserve">RF26081132</t>
  </si>
  <si>
    <t xml:space="preserve">6138654</t>
  </si>
  <si>
    <t xml:space="preserve">27240</t>
  </si>
  <si>
    <t xml:space="preserve">BOUNSAVY</t>
  </si>
  <si>
    <t xml:space="preserve">Payment in progress</t>
  </si>
  <si>
    <t xml:space="preserve">6138753</t>
  </si>
  <si>
    <t xml:space="preserve">27271</t>
  </si>
  <si>
    <t xml:space="preserve">PO3500008464</t>
  </si>
  <si>
    <t xml:space="preserve">Hongsa paid at the end of the month</t>
  </si>
  <si>
    <t xml:space="preserve">6139381</t>
  </si>
  <si>
    <t xml:space="preserve">27705</t>
  </si>
  <si>
    <t xml:space="preserve">KHAMPHAIY</t>
  </si>
  <si>
    <t xml:space="preserve">6139444</t>
  </si>
  <si>
    <t xml:space="preserve">27720</t>
  </si>
  <si>
    <t xml:space="preserve">KEOMANYVON</t>
  </si>
  <si>
    <t xml:space="preserve">6139511</t>
  </si>
  <si>
    <t xml:space="preserve">27724</t>
  </si>
  <si>
    <t xml:space="preserve">XAYSILI</t>
  </si>
  <si>
    <t xml:space="preserve">6139512</t>
  </si>
  <si>
    <t xml:space="preserve">27625</t>
  </si>
  <si>
    <t xml:space="preserve">AIYBORMMAS</t>
  </si>
  <si>
    <t xml:space="preserve">6139516</t>
  </si>
  <si>
    <t xml:space="preserve">27726</t>
  </si>
  <si>
    <t xml:space="preserve">PHONEPASUE</t>
  </si>
  <si>
    <t xml:space="preserve">6201022</t>
  </si>
  <si>
    <t xml:space="preserve">22958</t>
  </si>
  <si>
    <t xml:space="preserve">PHONGSENPH</t>
  </si>
  <si>
    <t xml:space="preserve">6133017</t>
  </si>
  <si>
    <t xml:space="preserve">25623</t>
  </si>
  <si>
    <t xml:space="preserve">Nakham Village</t>
  </si>
  <si>
    <t xml:space="preserve">6133727</t>
  </si>
  <si>
    <t xml:space="preserve">25943</t>
  </si>
  <si>
    <t xml:space="preserve">6134227</t>
  </si>
  <si>
    <t xml:space="preserve">25008</t>
  </si>
  <si>
    <t xml:space="preserve">6135141</t>
  </si>
  <si>
    <t xml:space="preserve">26197</t>
  </si>
  <si>
    <t xml:space="preserve">6136347</t>
  </si>
  <si>
    <t xml:space="preserve">25538</t>
  </si>
  <si>
    <t xml:space="preserve">Unit 05, Namnga Vill</t>
  </si>
  <si>
    <t xml:space="preserve">6136348</t>
  </si>
  <si>
    <t xml:space="preserve">25862</t>
  </si>
  <si>
    <t xml:space="preserve">THANHLAM</t>
  </si>
  <si>
    <t xml:space="preserve">6136349</t>
  </si>
  <si>
    <t xml:space="preserve">26347</t>
  </si>
  <si>
    <t xml:space="preserve">6136350</t>
  </si>
  <si>
    <t xml:space="preserve">25199</t>
  </si>
  <si>
    <t xml:space="preserve">6136351</t>
  </si>
  <si>
    <t xml:space="preserve">26601</t>
  </si>
  <si>
    <t xml:space="preserve">6138340</t>
  </si>
  <si>
    <t xml:space="preserve">26879</t>
  </si>
  <si>
    <t xml:space="preserve">BOLLIET</t>
  </si>
  <si>
    <t xml:space="preserve">àºà»àº²àºà»àº²àºàºàº²àº¡à»àºàº</t>
  </si>
  <si>
    <t xml:space="preserve">6138341</t>
  </si>
  <si>
    <t xml:space="preserve">27336</t>
  </si>
  <si>
    <t xml:space="preserve">PIXAYKONE</t>
  </si>
  <si>
    <t xml:space="preserve">6138866</t>
  </si>
  <si>
    <t xml:space="preserve">27508</t>
  </si>
  <si>
    <t xml:space="preserve">6200947</t>
  </si>
  <si>
    <t xml:space="preserve">20637</t>
  </si>
  <si>
    <t xml:space="preserve">SIN</t>
  </si>
  <si>
    <t xml:space="preserve">?</t>
  </si>
  <si>
    <t xml:space="preserve">6138040</t>
  </si>
  <si>
    <t xml:space="preserve">27152</t>
  </si>
  <si>
    <t xml:space="preserve">PHOMMAVONG</t>
  </si>
  <si>
    <t xml:space="preserve">6137101</t>
  </si>
  <si>
    <t xml:space="preserve">27010</t>
  </si>
  <si>
    <t xml:space="preserve">LAOPOSTOFF</t>
  </si>
  <si>
    <t xml:space="preserve">6137294</t>
  </si>
  <si>
    <t xml:space="preserve">27009</t>
  </si>
  <si>
    <t xml:space="preserve">6137571</t>
  </si>
  <si>
    <t xml:space="preserve">26992</t>
  </si>
  <si>
    <t xml:space="preserve">6137576</t>
  </si>
  <si>
    <t xml:space="preserve">27008</t>
  </si>
  <si>
    <t xml:space="preserve">LAOPOST</t>
  </si>
  <si>
    <t xml:space="preserve">6137939</t>
  </si>
  <si>
    <t xml:space="preserve">6138613</t>
  </si>
  <si>
    <t xml:space="preserve">27002</t>
  </si>
  <si>
    <t xml:space="preserve">6138413</t>
  </si>
  <si>
    <t xml:space="preserve">26968</t>
  </si>
  <si>
    <t xml:space="preserve">Sisangvone Village,</t>
  </si>
  <si>
    <t xml:space="preserve">6139366</t>
  </si>
  <si>
    <t xml:space="preserve">26644</t>
  </si>
  <si>
    <t xml:space="preserve">HANPHANICH</t>
  </si>
  <si>
    <t xml:space="preserve">6137572</t>
  </si>
  <si>
    <t xml:space="preserve">27177</t>
  </si>
  <si>
    <t xml:space="preserve">LUXDEVELOP</t>
  </si>
  <si>
    <t xml:space="preserve">6137587</t>
  </si>
  <si>
    <t xml:space="preserve">27188</t>
  </si>
  <si>
    <t xml:space="preserve">SOMPHUANG</t>
  </si>
  <si>
    <t xml:space="preserve">Will pay 20-10-2026</t>
  </si>
  <si>
    <t xml:space="preserve">6137683</t>
  </si>
  <si>
    <t xml:space="preserve">27211</t>
  </si>
  <si>
    <t xml:space="preserve">Laophosai Village</t>
  </si>
  <si>
    <t xml:space="preserve">6138430</t>
  </si>
  <si>
    <t xml:space="preserve">27109</t>
  </si>
  <si>
    <t xml:space="preserve">QUICKLANE</t>
  </si>
  <si>
    <t xml:space="preserve">224557</t>
  </si>
  <si>
    <t xml:space="preserve">RF25101335</t>
  </si>
  <si>
    <t xml:space="preserve">6137652</t>
  </si>
  <si>
    <t xml:space="preserve">27119</t>
  </si>
  <si>
    <t xml:space="preserve">MRSUVANDEE</t>
  </si>
  <si>
    <t xml:space="preserve">Will pay 25-10-2026</t>
  </si>
  <si>
    <t xml:space="preserve">6137701</t>
  </si>
  <si>
    <t xml:space="preserve">27186</t>
  </si>
  <si>
    <t xml:space="preserve">TIMBERPLAN</t>
  </si>
  <si>
    <t xml:space="preserve">6138063</t>
  </si>
  <si>
    <t xml:space="preserve">27287</t>
  </si>
  <si>
    <t xml:space="preserve">Saphanthong- Neua vi</t>
  </si>
  <si>
    <t xml:space="preserve">6138401</t>
  </si>
  <si>
    <t xml:space="preserve">27392</t>
  </si>
  <si>
    <t xml:space="preserve">BUARAPHA</t>
  </si>
  <si>
    <t xml:space="preserve">6138771</t>
  </si>
  <si>
    <t xml:space="preserve">27425</t>
  </si>
  <si>
    <t xml:space="preserve">6138861</t>
  </si>
  <si>
    <t xml:space="preserve">27529</t>
  </si>
  <si>
    <t xml:space="preserve">Nonthong Village</t>
  </si>
  <si>
    <t xml:space="preserve">6139088</t>
  </si>
  <si>
    <t xml:space="preserve">27593</t>
  </si>
  <si>
    <t xml:space="preserve">6139281</t>
  </si>
  <si>
    <t xml:space="preserve">27650</t>
  </si>
  <si>
    <t xml:space="preserve">6139283</t>
  </si>
  <si>
    <t xml:space="preserve">6201131</t>
  </si>
  <si>
    <t xml:space="preserve">6200941</t>
  </si>
  <si>
    <t xml:space="preserve">20164</t>
  </si>
  <si>
    <t xml:space="preserve">PO#4500463214</t>
  </si>
  <si>
    <t xml:space="preserve">6135449</t>
  </si>
  <si>
    <t xml:space="preserve">26446</t>
  </si>
  <si>
    <t xml:space="preserve">PO#4500553976</t>
  </si>
  <si>
    <t xml:space="preserve">àºªàº»à»àºà»àº¡àº§à»àºàº±àºà»àºàº´àºà»àº¥à»àº§</t>
  </si>
  <si>
    <t xml:space="preserve">6136368</t>
  </si>
  <si>
    <t xml:space="preserve">26786</t>
  </si>
  <si>
    <t xml:space="preserve">6136479</t>
  </si>
  <si>
    <t xml:space="preserve">26712</t>
  </si>
  <si>
    <t xml:space="preserve">PO#4500565173</t>
  </si>
  <si>
    <t xml:space="preserve">6137038</t>
  </si>
  <si>
    <t xml:space="preserve">26951</t>
  </si>
  <si>
    <t xml:space="preserve">PO#4500565117</t>
  </si>
  <si>
    <t xml:space="preserve">6137044</t>
  </si>
  <si>
    <t xml:space="preserve">26927</t>
  </si>
  <si>
    <t xml:space="preserve">6137058</t>
  </si>
  <si>
    <t xml:space="preserve">27014</t>
  </si>
  <si>
    <t xml:space="preserve">PO#4500565115</t>
  </si>
  <si>
    <t xml:space="preserve">6137106</t>
  </si>
  <si>
    <t xml:space="preserve">26843</t>
  </si>
  <si>
    <t xml:space="preserve">PO4500566435</t>
  </si>
  <si>
    <t xml:space="preserve">6137117</t>
  </si>
  <si>
    <t xml:space="preserve">26940</t>
  </si>
  <si>
    <t xml:space="preserve">PO#4500567815</t>
  </si>
  <si>
    <t xml:space="preserve">6137979</t>
  </si>
  <si>
    <t xml:space="preserve">27289</t>
  </si>
  <si>
    <t xml:space="preserve">PO# 4500570972</t>
  </si>
  <si>
    <t xml:space="preserve">6138301</t>
  </si>
  <si>
    <t xml:space="preserve">27366</t>
  </si>
  <si>
    <t xml:space="preserve">PO#4500570527</t>
  </si>
  <si>
    <t xml:space="preserve">6138561</t>
  </si>
  <si>
    <t xml:space="preserve">27292</t>
  </si>
  <si>
    <t xml:space="preserve">PO# 4500574974</t>
  </si>
  <si>
    <t xml:space="preserve">6138562</t>
  </si>
  <si>
    <t xml:space="preserve">27382</t>
  </si>
  <si>
    <t xml:space="preserve">PO#4500575479</t>
  </si>
  <si>
    <t xml:space="preserve">6138770</t>
  </si>
  <si>
    <t xml:space="preserve">27367</t>
  </si>
  <si>
    <t xml:space="preserve">FONGXONG</t>
  </si>
  <si>
    <t xml:space="preserve">Payment request email not sent yet</t>
  </si>
  <si>
    <t xml:space="preserve">6139103</t>
  </si>
  <si>
    <t xml:space="preserve">PO#4500576750</t>
  </si>
  <si>
    <t xml:space="preserve">6139104</t>
  </si>
  <si>
    <t xml:space="preserve">27419</t>
  </si>
  <si>
    <t xml:space="preserve">6139105</t>
  </si>
  <si>
    <t xml:space="preserve">27509</t>
  </si>
  <si>
    <t xml:space="preserve">PO#4500576641</t>
  </si>
  <si>
    <t xml:space="preserve">6139106</t>
  </si>
  <si>
    <t xml:space="preserve">27510</t>
  </si>
  <si>
    <t xml:space="preserve">PO# 4500576642</t>
  </si>
  <si>
    <t xml:space="preserve">6139107</t>
  </si>
  <si>
    <t xml:space="preserve">27084</t>
  </si>
  <si>
    <t xml:space="preserve">PO4500576750</t>
  </si>
  <si>
    <t xml:space="preserve">6201126</t>
  </si>
  <si>
    <t xml:space="preserve">6139323</t>
  </si>
  <si>
    <t xml:space="preserve">27630</t>
  </si>
  <si>
    <t xml:space="preserve">PO#4500576752</t>
  </si>
  <si>
    <t xml:space="preserve">6139342</t>
  </si>
  <si>
    <t xml:space="preserve">27555</t>
  </si>
  <si>
    <t xml:space="preserve">PO# 4500577037</t>
  </si>
  <si>
    <t xml:space="preserve">6139432</t>
  </si>
  <si>
    <t xml:space="preserve">27585</t>
  </si>
  <si>
    <t xml:space="preserve">PO#4500577269</t>
  </si>
  <si>
    <t xml:space="preserve">6139448</t>
  </si>
  <si>
    <t xml:space="preserve">PO#4500576642</t>
  </si>
  <si>
    <t xml:space="preserve">6139509</t>
  </si>
  <si>
    <t xml:space="preserve">27634</t>
  </si>
  <si>
    <t xml:space="preserve">PO#4500578228</t>
  </si>
  <si>
    <t xml:space="preserve">6139528</t>
  </si>
  <si>
    <t xml:space="preserve">27646</t>
  </si>
  <si>
    <t xml:space="preserve">PO#4500576749</t>
  </si>
  <si>
    <t xml:space="preserve">6139529</t>
  </si>
  <si>
    <t xml:space="preserve">27647</t>
  </si>
  <si>
    <t xml:space="preserve">6201133</t>
  </si>
  <si>
    <t xml:space="preserve">6137709</t>
  </si>
  <si>
    <t xml:space="preserve">27217</t>
  </si>
  <si>
    <t xml:space="preserve">PHANYATHIP</t>
  </si>
  <si>
    <t xml:space="preserve">6138853</t>
  </si>
  <si>
    <t xml:space="preserve">27531</t>
  </si>
  <si>
    <t xml:space="preserve">PANYATHIPP</t>
  </si>
  <si>
    <t xml:space="preserve">6138362</t>
  </si>
  <si>
    <t xml:space="preserve">27244</t>
  </si>
  <si>
    <t xml:space="preserve">LAOS</t>
  </si>
  <si>
    <t xml:space="preserve">6138363</t>
  </si>
  <si>
    <t xml:space="preserve">27377</t>
  </si>
  <si>
    <t xml:space="preserve">UXOLAO</t>
  </si>
  <si>
    <t xml:space="preserve">6138629</t>
  </si>
  <si>
    <t xml:space="preserve">27328</t>
  </si>
  <si>
    <t xml:space="preserve">Nonhsaard Village,</t>
  </si>
  <si>
    <t xml:space="preserve">6138633</t>
  </si>
  <si>
    <t xml:space="preserve">27329</t>
  </si>
  <si>
    <t xml:space="preserve">6138776</t>
  </si>
  <si>
    <t xml:space="preserve">27503</t>
  </si>
  <si>
    <t xml:space="preserve">6138778</t>
  </si>
  <si>
    <t xml:space="preserve">27506</t>
  </si>
  <si>
    <t xml:space="preserve">6133014</t>
  </si>
  <si>
    <t xml:space="preserve">25708</t>
  </si>
  <si>
    <t xml:space="preserve">MRVIPHETSI</t>
  </si>
  <si>
    <t xml:space="preserve">Waiting payment</t>
  </si>
  <si>
    <t xml:space="preserve">6137920</t>
  </si>
  <si>
    <t xml:space="preserve">27163</t>
  </si>
  <si>
    <t xml:space="preserve">VIPHET</t>
  </si>
  <si>
    <t xml:space="preserve">6138624</t>
  </si>
  <si>
    <t xml:space="preserve">27458</t>
  </si>
  <si>
    <t xml:space="preserve">VLS-PO5481</t>
  </si>
  <si>
    <t xml:space="preserve">6138625</t>
  </si>
  <si>
    <t xml:space="preserve">27471</t>
  </si>
  <si>
    <t xml:space="preserve">VLS-PO05488</t>
  </si>
  <si>
    <t xml:space="preserve">6138665</t>
  </si>
  <si>
    <t xml:space="preserve">27450</t>
  </si>
  <si>
    <t xml:space="preserve">VLS-PO05383</t>
  </si>
  <si>
    <t xml:space="preserve">6138667</t>
  </si>
  <si>
    <t xml:space="preserve">27472</t>
  </si>
  <si>
    <t xml:space="preserve">VLS-PO05437</t>
  </si>
  <si>
    <t xml:space="preserve">6138754</t>
  </si>
  <si>
    <t xml:space="preserve">27457</t>
  </si>
  <si>
    <t xml:space="preserve">VLS-PO05468</t>
  </si>
  <si>
    <t xml:space="preserve">6138755</t>
  </si>
  <si>
    <t xml:space="preserve">27511</t>
  </si>
  <si>
    <t xml:space="preserve">VLS-PO05464</t>
  </si>
  <si>
    <t xml:space="preserve">6138756</t>
  </si>
  <si>
    <t xml:space="preserve">27446</t>
  </si>
  <si>
    <t xml:space="preserve">VLS-PO05459</t>
  </si>
  <si>
    <t xml:space="preserve">6138844</t>
  </si>
  <si>
    <t xml:space="preserve">27449</t>
  </si>
  <si>
    <t xml:space="preserve">VLS-PO05380</t>
  </si>
  <si>
    <t xml:space="preserve">Paid per Supabase but still shown as open in Autoline (checked 23/10 against pasted ledgers). Docs not on the ledger are not listed. Kitty's CR emails are not readable by Claude: only 6138417 is matched.</t>
  </si>
  <si>
    <t xml:space="preserve">Status</t>
  </si>
  <si>
    <t xml:space="preserve">Paid date</t>
  </si>
  <si>
    <t xml:space="preserve">Payment evidence</t>
  </si>
  <si>
    <t xml:space="preserve">CR match (Suphutta/Kitty)</t>
  </si>
  <si>
    <t xml:space="preserve">Comment</t>
  </si>
  <si>
    <t xml:space="preserve">6131439</t>
  </si>
  <si>
    <t xml:space="preserve">24841</t>
  </si>
  <si>
    <t xml:space="preserve">paid (date)</t>
  </si>
  <si>
    <t xml:space="preserve">LDB-LAK LAK 1945405 [Deposit to bank On 8 2026.xlsx / 12-14]</t>
  </si>
  <si>
    <t xml:space="preserve">Check amount</t>
  </si>
  <si>
    <t xml:space="preserve">CR file LDB 12/08/2026 LAK 1,945,405 (~$86.27) is not $76.95: check if deposit covers other docs.</t>
  </si>
  <si>
    <t xml:space="preserve">6130649</t>
  </si>
  <si>
    <t xml:space="preserve">24420</t>
  </si>
  <si>
    <t xml:space="preserve">MALLON</t>
  </si>
  <si>
    <t xml:space="preserve">JDB-LAK LAK 3790000 [Deposit to bank On 2-2- 2026.xlsx / Sheet7]</t>
  </si>
  <si>
    <t xml:space="preserve">Check CR no.</t>
  </si>
  <si>
    <t xml:space="preserve">CR file JDB 02/02/2026 LAK 3,790,000. Amount OK. No Kitty CR email number in system.</t>
  </si>
  <si>
    <t xml:space="preserve">6133365</t>
  </si>
  <si>
    <t xml:space="preserve">23615</t>
  </si>
  <si>
    <t xml:space="preserve">BURAPHA AG</t>
  </si>
  <si>
    <t xml:space="preserve">JDB-LAK LAK 704000 [Deposit to bank On 2-2- 2026.xlsx / Sheet7]</t>
  </si>
  <si>
    <t xml:space="preserve">Check date</t>
  </si>
  <si>
    <t xml:space="preserve">CR file JDB 02/02/2026 LAK 704,000. Amount OK but invoice date 11/05/2026 is after deposit 02/02/2026: verify.</t>
  </si>
  <si>
    <t xml:space="preserve">6138417</t>
  </si>
  <si>
    <t xml:space="preserve">27397</t>
  </si>
  <si>
    <t xml:space="preserve">TT BCEL-LAK 1,934,790 (= USD 85.80 @22,550) deposit 09/10/26</t>
  </si>
  <si>
    <t xml:space="preserve">Matched</t>
  </si>
  <si>
    <t xml:space="preserve">MATCHED Kitty CR email 22/10 (mail 590). TT BCEL 1,934,790 LAK = $85.80 @22,550. Still open in Autoline: Finance post receipt.</t>
  </si>
  <si>
    <t xml:space="preserve">6132877</t>
  </si>
  <si>
    <t xml:space="preserve">25764</t>
  </si>
  <si>
    <t xml:space="preserve">PO#4500542886</t>
  </si>
  <si>
    <t xml:space="preserve">paid (seen)</t>
  </si>
  <si>
    <t xml:space="preserve">àºà»àº²àºà»àº¥à»àº§</t>
  </si>
  <si>
    <t xml:space="preserve">Need CR no.</t>
  </si>
  <si>
    <t xml:space="preserve">Paid per AR comment 21/10 (Phubia 42-inv batch, $23,766.86, ql_kb #2434). No CR number in system: need Kitty CR email. Still open in Autoline: Finance post receipts.</t>
  </si>
  <si>
    <t xml:space="preserve">6133353</t>
  </si>
  <si>
    <t xml:space="preserve">25812</t>
  </si>
  <si>
    <t xml:space="preserve">PO#4500548812</t>
  </si>
  <si>
    <t xml:space="preserve">6133354</t>
  </si>
  <si>
    <t xml:space="preserve">25934</t>
  </si>
  <si>
    <t xml:space="preserve">PO# 4500550066</t>
  </si>
  <si>
    <t xml:space="preserve">6133364</t>
  </si>
  <si>
    <t xml:space="preserve">25935</t>
  </si>
  <si>
    <t xml:space="preserve">6133627</t>
  </si>
  <si>
    <t xml:space="preserve">25960</t>
  </si>
  <si>
    <t xml:space="preserve">PO#4500548369</t>
  </si>
  <si>
    <t xml:space="preserve">6133628</t>
  </si>
  <si>
    <t xml:space="preserve">25959</t>
  </si>
  <si>
    <t xml:space="preserve">PO#4500548178</t>
  </si>
  <si>
    <t xml:space="preserve">6133629</t>
  </si>
  <si>
    <t xml:space="preserve">25958</t>
  </si>
  <si>
    <t xml:space="preserve">6133631</t>
  </si>
  <si>
    <t xml:space="preserve">25926</t>
  </si>
  <si>
    <t xml:space="preserve">6133632</t>
  </si>
  <si>
    <t xml:space="preserve">25949</t>
  </si>
  <si>
    <t xml:space="preserve">6133690</t>
  </si>
  <si>
    <t xml:space="preserve">26118</t>
  </si>
  <si>
    <t xml:space="preserve">6134020</t>
  </si>
  <si>
    <t xml:space="preserve">25927</t>
  </si>
  <si>
    <t xml:space="preserve">6135236</t>
  </si>
  <si>
    <t xml:space="preserve">26138</t>
  </si>
  <si>
    <t xml:space="preserve">6135237</t>
  </si>
  <si>
    <t xml:space="preserve">26219</t>
  </si>
  <si>
    <t xml:space="preserve">PO#4500553971</t>
  </si>
  <si>
    <t xml:space="preserve">6135238</t>
  </si>
  <si>
    <t xml:space="preserve">26248</t>
  </si>
  <si>
    <t xml:space="preserve">6135239</t>
  </si>
  <si>
    <t xml:space="preserve">26247</t>
  </si>
  <si>
    <t xml:space="preserve">6135264</t>
  </si>
  <si>
    <t xml:space="preserve">26256</t>
  </si>
  <si>
    <t xml:space="preserve">PO#4500553972</t>
  </si>
  <si>
    <t xml:space="preserve">6135265</t>
  </si>
  <si>
    <t xml:space="preserve">25692</t>
  </si>
  <si>
    <t xml:space="preserve">PO#4500555638</t>
  </si>
  <si>
    <t xml:space="preserve">6135266</t>
  </si>
  <si>
    <t xml:space="preserve">26444</t>
  </si>
  <si>
    <t xml:space="preserve">6135267</t>
  </si>
  <si>
    <t xml:space="preserve">26218</t>
  </si>
  <si>
    <t xml:space="preserve">6135268</t>
  </si>
  <si>
    <t xml:space="preserve">26224</t>
  </si>
  <si>
    <t xml:space="preserve">6135269</t>
  </si>
  <si>
    <t xml:space="preserve">26162</t>
  </si>
  <si>
    <t xml:space="preserve">PO#4500554111</t>
  </si>
  <si>
    <t xml:space="preserve">6135270</t>
  </si>
  <si>
    <t xml:space="preserve">26249</t>
  </si>
  <si>
    <t xml:space="preserve">6135271</t>
  </si>
  <si>
    <t xml:space="preserve">26445</t>
  </si>
  <si>
    <t xml:space="preserve">6135272</t>
  </si>
  <si>
    <t xml:space="preserve">26514</t>
  </si>
  <si>
    <t xml:space="preserve">6135273</t>
  </si>
  <si>
    <t xml:space="preserve">26443</t>
  </si>
  <si>
    <t xml:space="preserve">6135274</t>
  </si>
  <si>
    <t xml:space="preserve">26439</t>
  </si>
  <si>
    <t xml:space="preserve">6135553</t>
  </si>
  <si>
    <t xml:space="preserve">26590</t>
  </si>
  <si>
    <t xml:space="preserve">PO#4500560168</t>
  </si>
  <si>
    <t xml:space="preserve">6135575</t>
  </si>
  <si>
    <t xml:space="preserve">26536</t>
  </si>
  <si>
    <t xml:space="preserve">PO#4500560167</t>
  </si>
  <si>
    <t xml:space="preserve">6135576</t>
  </si>
  <si>
    <t xml:space="preserve">26582</t>
  </si>
  <si>
    <t xml:space="preserve">6135577</t>
  </si>
  <si>
    <t xml:space="preserve">26579</t>
  </si>
  <si>
    <t xml:space="preserve">6135578</t>
  </si>
  <si>
    <t xml:space="preserve">26581</t>
  </si>
  <si>
    <t xml:space="preserve">6135654</t>
  </si>
  <si>
    <t xml:space="preserve">26517</t>
  </si>
  <si>
    <t xml:space="preserve">6135657</t>
  </si>
  <si>
    <t xml:space="preserve">26512</t>
  </si>
  <si>
    <t xml:space="preserve">PO# 4500560171</t>
  </si>
  <si>
    <t xml:space="preserve">6136369</t>
  </si>
  <si>
    <t xml:space="preserve">26806</t>
  </si>
  <si>
    <t xml:space="preserve">6136393</t>
  </si>
  <si>
    <t xml:space="preserve">26805</t>
  </si>
  <si>
    <t xml:space="preserve">6137179</t>
  </si>
  <si>
    <t xml:space="preserve">27015</t>
  </si>
  <si>
    <t xml:space="preserve">6137513</t>
  </si>
  <si>
    <t xml:space="preserve">26809</t>
  </si>
  <si>
    <t xml:space="preserve">6137893</t>
  </si>
  <si>
    <t xml:space="preserve">27143</t>
  </si>
  <si>
    <t xml:space="preserve">PO#4500570369</t>
  </si>
  <si>
    <t xml:space="preserve">6138357</t>
  </si>
  <si>
    <t xml:space="preserve">27151</t>
  </si>
  <si>
    <t xml:space="preserve">PO#4500570972</t>
  </si>
  <si>
    <t xml:space="preserve">6138358</t>
  </si>
  <si>
    <t xml:space="preserve">27150</t>
  </si>
  <si>
    <t xml:space="preserve">6138359</t>
  </si>
  <si>
    <t xml:space="preserve">27157</t>
  </si>
  <si>
    <t xml:space="preserve">6138360</t>
  </si>
  <si>
    <t xml:space="preserve">27158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</si>
</sst>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;[RED]\(#,##0.0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D9D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8" min="7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46318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5" t="s">
        <v>11</v>
      </c>
      <c r="C5" s="5" t="n">
        <f aca="false">COUNTIFS('AR Open'!$A$2:$A$277,A5)</f>
        <v>165</v>
      </c>
      <c r="D5" s="6" t="n">
        <f aca="false">SUMIFS('AR Open'!$I$2:$I$277,'AR Open'!$A$2:$A$277,A5)</f>
        <v>62449.03</v>
      </c>
      <c r="E5" s="6" t="n">
        <f aca="false">SUMIFS('AR Open'!$I$2:$I$277,'AR Open'!$A$2:$A$277,A5,'AR Open'!$J$2:$J$277,"&gt;0")</f>
        <v>45270.56</v>
      </c>
      <c r="F5" s="6" t="n">
        <f aca="false">SUMIFS('AR Open'!$I$2:$I$277,'AR Open'!$A$2:$A$277,A5,'AR Open'!$K$2:$K$277,"90+")</f>
        <v>27495.76</v>
      </c>
      <c r="G5" s="5" t="n">
        <f aca="false">COUNTIFS('Paid - CR match'!$A$4:$A$49,A5)</f>
        <v>1</v>
      </c>
      <c r="H5" s="6" t="n">
        <f aca="false">SUMIFS('Paid - CR match'!$G$4:$G$49,'Paid - CR match'!$A$4:$A$49,A5)</f>
        <v>76.95</v>
      </c>
    </row>
    <row r="6" customFormat="false" ht="15" hidden="false" customHeight="false" outlineLevel="0" collapsed="false">
      <c r="A6" s="5" t="s">
        <v>12</v>
      </c>
      <c r="B6" s="5" t="s">
        <v>13</v>
      </c>
      <c r="C6" s="5" t="n">
        <f aca="false">COUNTIFS('AR Open'!$A$2:$A$277,A6)</f>
        <v>28</v>
      </c>
      <c r="D6" s="6" t="n">
        <f aca="false">SUMIFS('AR Open'!$I$2:$I$277,'AR Open'!$A$2:$A$277,A6)</f>
        <v>24266.33</v>
      </c>
      <c r="E6" s="6" t="n">
        <f aca="false">SUMIFS('AR Open'!$I$2:$I$277,'AR Open'!$A$2:$A$277,A6,'AR Open'!$J$2:$J$277,"&gt;0")</f>
        <v>792.98</v>
      </c>
      <c r="F6" s="6" t="n">
        <f aca="false">SUMIFS('AR Open'!$I$2:$I$277,'AR Open'!$A$2:$A$277,A6,'AR Open'!$K$2:$K$277,"90+")</f>
        <v>-118</v>
      </c>
      <c r="G6" s="5" t="n">
        <f aca="false">COUNTIFS('Paid - CR match'!$A$4:$A$49,A6)</f>
        <v>42</v>
      </c>
      <c r="H6" s="6" t="n">
        <f aca="false">SUMIFS('Paid - CR match'!$G$4:$G$49,'Paid - CR match'!$A$4:$A$49,A6)</f>
        <v>23766.86</v>
      </c>
    </row>
    <row r="7" customFormat="false" ht="15" hidden="false" customHeight="false" outlineLevel="0" collapsed="false">
      <c r="A7" s="5" t="s">
        <v>14</v>
      </c>
      <c r="B7" s="5"/>
      <c r="C7" s="5" t="n">
        <f aca="false">COUNTIFS('AR Open'!$A$2:$A$277,A7)</f>
        <v>8</v>
      </c>
      <c r="D7" s="6" t="n">
        <f aca="false">SUMIFS('AR Open'!$I$2:$I$277,'AR Open'!$A$2:$A$277,A7)</f>
        <v>6482.32</v>
      </c>
      <c r="E7" s="6" t="n">
        <f aca="false">SUMIFS('AR Open'!$I$2:$I$277,'AR Open'!$A$2:$A$277,A7,'AR Open'!$J$2:$J$277,"&gt;0")</f>
        <v>0</v>
      </c>
      <c r="F7" s="6" t="n">
        <f aca="false">SUMIFS('AR Open'!$I$2:$I$277,'AR Open'!$A$2:$A$277,A7,'AR Open'!$K$2:$K$277,"90+")</f>
        <v>0</v>
      </c>
      <c r="G7" s="5" t="n">
        <f aca="false">COUNTIFS('Paid - CR match'!$A$4:$A$49,A7)</f>
        <v>0</v>
      </c>
      <c r="H7" s="6" t="n">
        <f aca="false">SUMIFS('Paid - CR match'!$G$4:$G$49,'Paid - CR match'!$A$4:$A$49,A7)</f>
        <v>0</v>
      </c>
    </row>
    <row r="8" customFormat="false" ht="15" hidden="false" customHeight="false" outlineLevel="0" collapsed="false">
      <c r="A8" s="5" t="s">
        <v>15</v>
      </c>
      <c r="B8" s="5"/>
      <c r="C8" s="5" t="n">
        <f aca="false">COUNTIFS('AR Open'!$A$2:$A$277,A8)</f>
        <v>1</v>
      </c>
      <c r="D8" s="6" t="n">
        <f aca="false">SUMIFS('AR Open'!$I$2:$I$277,'AR Open'!$A$2:$A$277,A8)</f>
        <v>4956.19</v>
      </c>
      <c r="E8" s="6" t="n">
        <f aca="false">SUMIFS('AR Open'!$I$2:$I$277,'AR Open'!$A$2:$A$277,A8,'AR Open'!$J$2:$J$277,"&gt;0")</f>
        <v>0</v>
      </c>
      <c r="F8" s="6" t="n">
        <f aca="false">SUMIFS('AR Open'!$I$2:$I$277,'AR Open'!$A$2:$A$277,A8,'AR Open'!$K$2:$K$277,"90+")</f>
        <v>0</v>
      </c>
      <c r="G8" s="5" t="n">
        <f aca="false">COUNTIFS('Paid - CR match'!$A$4:$A$49,A8)</f>
        <v>0</v>
      </c>
      <c r="H8" s="6" t="n">
        <f aca="false">SUMIFS('Paid - CR match'!$G$4:$G$49,'Paid - CR match'!$A$4:$A$49,A8)</f>
        <v>0</v>
      </c>
    </row>
    <row r="9" customFormat="false" ht="15" hidden="false" customHeight="false" outlineLevel="0" collapsed="false">
      <c r="A9" s="5" t="s">
        <v>16</v>
      </c>
      <c r="B9" s="5" t="s">
        <v>17</v>
      </c>
      <c r="C9" s="5" t="n">
        <f aca="false">COUNTIFS('AR Open'!$A$2:$A$277,A9)</f>
        <v>8</v>
      </c>
      <c r="D9" s="6" t="n">
        <f aca="false">SUMIFS('AR Open'!$I$2:$I$277,'AR Open'!$A$2:$A$277,A9)</f>
        <v>3583.47</v>
      </c>
      <c r="E9" s="6" t="n">
        <f aca="false">SUMIFS('AR Open'!$I$2:$I$277,'AR Open'!$A$2:$A$277,A9,'AR Open'!$J$2:$J$277,"&gt;0")</f>
        <v>1235.25</v>
      </c>
      <c r="F9" s="6" t="n">
        <f aca="false">SUMIFS('AR Open'!$I$2:$I$277,'AR Open'!$A$2:$A$277,A9,'AR Open'!$K$2:$K$277,"90+")</f>
        <v>1235.25</v>
      </c>
      <c r="G9" s="5" t="n">
        <f aca="false">COUNTIFS('Paid - CR match'!$A$4:$A$49,A9)</f>
        <v>3</v>
      </c>
      <c r="H9" s="6" t="n">
        <f aca="false">SUMIFS('Paid - CR match'!$G$4:$G$49,'Paid - CR match'!$A$4:$A$49,A9)</f>
        <v>288.7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n">
        <f aca="false">COUNTIFS('AR Open'!$A$2:$A$277,A10)</f>
        <v>6</v>
      </c>
      <c r="D10" s="6" t="n">
        <f aca="false">SUMIFS('AR Open'!$I$2:$I$277,'AR Open'!$A$2:$A$277,A10)</f>
        <v>2368.46</v>
      </c>
      <c r="E10" s="6" t="n">
        <f aca="false">SUMIFS('AR Open'!$I$2:$I$277,'AR Open'!$A$2:$A$277,A10,'AR Open'!$J$2:$J$277,"&gt;0")</f>
        <v>2014.31</v>
      </c>
      <c r="F10" s="6" t="n">
        <f aca="false">SUMIFS('AR Open'!$I$2:$I$277,'AR Open'!$A$2:$A$277,A10,'AR Open'!$K$2:$K$277,"90+")</f>
        <v>-67.41</v>
      </c>
      <c r="G10" s="5" t="n">
        <f aca="false">COUNTIFS('Paid - CR match'!$A$4:$A$49,A10)</f>
        <v>0</v>
      </c>
      <c r="H10" s="6" t="n">
        <f aca="false">SUMIFS('Paid - CR match'!$G$4:$G$49,'Paid - CR match'!$A$4:$A$49,A10)</f>
        <v>0</v>
      </c>
    </row>
    <row r="11" customFormat="false" ht="15" hidden="false" customHeight="false" outlineLevel="0" collapsed="false">
      <c r="A11" s="5" t="s">
        <v>20</v>
      </c>
      <c r="B11" s="5"/>
      <c r="C11" s="5" t="n">
        <f aca="false">COUNTIFS('AR Open'!$A$2:$A$277,A11)</f>
        <v>6</v>
      </c>
      <c r="D11" s="6" t="n">
        <f aca="false">SUMIFS('AR Open'!$I$2:$I$277,'AR Open'!$A$2:$A$277,A11)</f>
        <v>1843.12</v>
      </c>
      <c r="E11" s="6" t="n">
        <f aca="false">SUMIFS('AR Open'!$I$2:$I$277,'AR Open'!$A$2:$A$277,A11,'AR Open'!$J$2:$J$277,"&gt;0")</f>
        <v>278.68</v>
      </c>
      <c r="F11" s="6" t="n">
        <f aca="false">SUMIFS('AR Open'!$I$2:$I$277,'AR Open'!$A$2:$A$277,A11,'AR Open'!$K$2:$K$277,"90+")</f>
        <v>0</v>
      </c>
      <c r="G11" s="5" t="n">
        <f aca="false">COUNTIFS('Paid - CR match'!$A$4:$A$49,A11)</f>
        <v>0</v>
      </c>
      <c r="H11" s="6" t="n">
        <f aca="false">SUMIFS('Paid - CR match'!$G$4:$G$49,'Paid - CR match'!$A$4:$A$49,A11)</f>
        <v>0</v>
      </c>
    </row>
    <row r="12" customFormat="false" ht="15" hidden="false" customHeight="false" outlineLevel="0" collapsed="false">
      <c r="A12" s="5" t="s">
        <v>21</v>
      </c>
      <c r="B12" s="5" t="s">
        <v>22</v>
      </c>
      <c r="C12" s="5" t="n">
        <f aca="false">COUNTIFS('AR Open'!$A$2:$A$277,A12)</f>
        <v>3</v>
      </c>
      <c r="D12" s="6" t="n">
        <f aca="false">SUMIFS('AR Open'!$I$2:$I$277,'AR Open'!$A$2:$A$277,A12)</f>
        <v>1754.07</v>
      </c>
      <c r="E12" s="6" t="n">
        <f aca="false">SUMIFS('AR Open'!$I$2:$I$277,'AR Open'!$A$2:$A$277,A12,'AR Open'!$J$2:$J$277,"&gt;0")</f>
        <v>1662.33</v>
      </c>
      <c r="F12" s="6" t="n">
        <f aca="false">SUMIFS('AR Open'!$I$2:$I$277,'AR Open'!$A$2:$A$277,A12,'AR Open'!$K$2:$K$277,"90+")</f>
        <v>0</v>
      </c>
      <c r="G12" s="5" t="n">
        <f aca="false">COUNTIFS('Paid - CR match'!$A$4:$A$49,A12)</f>
        <v>0</v>
      </c>
      <c r="H12" s="6" t="n">
        <f aca="false">SUMIFS('Paid - CR match'!$G$4:$G$49,'Paid - CR match'!$A$4:$A$49,A12)</f>
        <v>0</v>
      </c>
    </row>
    <row r="13" customFormat="false" ht="15" hidden="false" customHeight="false" outlineLevel="0" collapsed="false">
      <c r="A13" s="5" t="s">
        <v>23</v>
      </c>
      <c r="B13" s="5" t="s">
        <v>24</v>
      </c>
      <c r="C13" s="5" t="n">
        <f aca="false">COUNTIFS('AR Open'!$A$2:$A$277,A13)</f>
        <v>10</v>
      </c>
      <c r="D13" s="6" t="n">
        <f aca="false">SUMIFS('AR Open'!$I$2:$I$277,'AR Open'!$A$2:$A$277,A13)</f>
        <v>1158.4</v>
      </c>
      <c r="E13" s="6" t="n">
        <f aca="false">SUMIFS('AR Open'!$I$2:$I$277,'AR Open'!$A$2:$A$277,A13,'AR Open'!$J$2:$J$277,"&gt;0")</f>
        <v>1158.4</v>
      </c>
      <c r="F13" s="6" t="n">
        <f aca="false">SUMIFS('AR Open'!$I$2:$I$277,'AR Open'!$A$2:$A$277,A13,'AR Open'!$K$2:$K$277,"90+")</f>
        <v>-78.09</v>
      </c>
      <c r="G13" s="5" t="n">
        <f aca="false">COUNTIFS('Paid - CR match'!$A$4:$A$49,A13)</f>
        <v>0</v>
      </c>
      <c r="H13" s="6" t="n">
        <f aca="false">SUMIFS('Paid - CR match'!$G$4:$G$49,'Paid - CR match'!$A$4:$A$49,A13)</f>
        <v>0</v>
      </c>
    </row>
    <row r="14" customFormat="false" ht="15" hidden="false" customHeight="false" outlineLevel="0" collapsed="false">
      <c r="A14" s="5" t="s">
        <v>25</v>
      </c>
      <c r="B14" s="5"/>
      <c r="C14" s="5" t="n">
        <f aca="false">COUNTIFS('AR Open'!$A$2:$A$277,A14)</f>
        <v>3</v>
      </c>
      <c r="D14" s="6" t="n">
        <f aca="false">SUMIFS('AR Open'!$I$2:$I$277,'AR Open'!$A$2:$A$277,A14)</f>
        <v>1133.08</v>
      </c>
      <c r="E14" s="6" t="n">
        <f aca="false">SUMIFS('AR Open'!$I$2:$I$277,'AR Open'!$A$2:$A$277,A14,'AR Open'!$J$2:$J$277,"&gt;0")</f>
        <v>1133.08</v>
      </c>
      <c r="F14" s="6" t="n">
        <f aca="false">SUMIFS('AR Open'!$I$2:$I$277,'AR Open'!$A$2:$A$277,A14,'AR Open'!$K$2:$K$277,"90+")</f>
        <v>1133.08</v>
      </c>
      <c r="G14" s="5" t="n">
        <f aca="false">COUNTIFS('Paid - CR match'!$A$4:$A$49,A14)</f>
        <v>0</v>
      </c>
      <c r="H14" s="6" t="n">
        <f aca="false">SUMIFS('Paid - CR match'!$G$4:$G$49,'Paid - CR match'!$A$4:$A$49,A14)</f>
        <v>0</v>
      </c>
    </row>
    <row r="15" customFormat="false" ht="15" hidden="false" customHeight="false" outlineLevel="0" collapsed="false">
      <c r="A15" s="5" t="s">
        <v>26</v>
      </c>
      <c r="B15" s="5" t="s">
        <v>27</v>
      </c>
      <c r="C15" s="5" t="n">
        <f aca="false">COUNTIFS('AR Open'!$A$2:$A$277,A15)</f>
        <v>6</v>
      </c>
      <c r="D15" s="6" t="n">
        <f aca="false">SUMIFS('AR Open'!$I$2:$I$277,'AR Open'!$A$2:$A$277,A15)</f>
        <v>1042.67</v>
      </c>
      <c r="E15" s="6" t="n">
        <f aca="false">SUMIFS('AR Open'!$I$2:$I$277,'AR Open'!$A$2:$A$277,A15,'AR Open'!$J$2:$J$277,"&gt;0")</f>
        <v>0</v>
      </c>
      <c r="F15" s="6" t="n">
        <f aca="false">SUMIFS('AR Open'!$I$2:$I$277,'AR Open'!$A$2:$A$277,A15,'AR Open'!$K$2:$K$277,"90+")</f>
        <v>0</v>
      </c>
      <c r="G15" s="5" t="n">
        <f aca="false">COUNTIFS('Paid - CR match'!$A$4:$A$49,A15)</f>
        <v>0</v>
      </c>
      <c r="H15" s="6" t="n">
        <f aca="false">SUMIFS('Paid - CR match'!$G$4:$G$49,'Paid - CR match'!$A$4:$A$49,A15)</f>
        <v>0</v>
      </c>
    </row>
    <row r="16" customFormat="false" ht="15" hidden="false" customHeight="false" outlineLevel="0" collapsed="false">
      <c r="A16" s="5" t="s">
        <v>28</v>
      </c>
      <c r="B16" s="5" t="s">
        <v>29</v>
      </c>
      <c r="C16" s="5" t="n">
        <f aca="false">COUNTIFS('AR Open'!$A$2:$A$277,A16)</f>
        <v>5</v>
      </c>
      <c r="D16" s="6" t="n">
        <f aca="false">SUMIFS('AR Open'!$I$2:$I$277,'AR Open'!$A$2:$A$277,A16)</f>
        <v>906.03</v>
      </c>
      <c r="E16" s="6" t="n">
        <f aca="false">SUMIFS('AR Open'!$I$2:$I$277,'AR Open'!$A$2:$A$277,A16,'AR Open'!$J$2:$J$277,"&gt;0")</f>
        <v>0</v>
      </c>
      <c r="F16" s="6" t="n">
        <f aca="false">SUMIFS('AR Open'!$I$2:$I$277,'AR Open'!$A$2:$A$277,A16,'AR Open'!$K$2:$K$277,"90+")</f>
        <v>0</v>
      </c>
      <c r="G16" s="5" t="n">
        <f aca="false">COUNTIFS('Paid - CR match'!$A$4:$A$49,A16)</f>
        <v>0</v>
      </c>
      <c r="H16" s="6" t="n">
        <f aca="false">SUMIFS('Paid - CR match'!$G$4:$G$49,'Paid - CR match'!$A$4:$A$49,A16)</f>
        <v>0</v>
      </c>
    </row>
    <row r="17" customFormat="false" ht="15" hidden="false" customHeight="false" outlineLevel="0" collapsed="false">
      <c r="A17" s="5" t="s">
        <v>30</v>
      </c>
      <c r="B17" s="5" t="s">
        <v>31</v>
      </c>
      <c r="C17" s="5" t="n">
        <f aca="false">COUNTIFS('AR Open'!$A$2:$A$277,A17)</f>
        <v>13</v>
      </c>
      <c r="D17" s="6" t="n">
        <f aca="false">SUMIFS('AR Open'!$I$2:$I$277,'AR Open'!$A$2:$A$277,A17)</f>
        <v>413.13</v>
      </c>
      <c r="E17" s="6" t="n">
        <f aca="false">SUMIFS('AR Open'!$I$2:$I$277,'AR Open'!$A$2:$A$277,A17,'AR Open'!$J$2:$J$277,"&gt;0")</f>
        <v>-1297.41</v>
      </c>
      <c r="F17" s="6" t="n">
        <f aca="false">SUMIFS('AR Open'!$I$2:$I$277,'AR Open'!$A$2:$A$277,A17,'AR Open'!$K$2:$K$277,"90+")</f>
        <v>-2060.81</v>
      </c>
      <c r="G17" s="5" t="n">
        <f aca="false">COUNTIFS('Paid - CR match'!$A$4:$A$49,A17)</f>
        <v>0</v>
      </c>
      <c r="H17" s="6" t="n">
        <f aca="false">SUMIFS('Paid - CR match'!$G$4:$G$49,'Paid - CR match'!$A$4:$A$49,A17)</f>
        <v>0</v>
      </c>
    </row>
    <row r="18" customFormat="false" ht="15" hidden="false" customHeight="false" outlineLevel="0" collapsed="false">
      <c r="A18" s="5" t="s">
        <v>32</v>
      </c>
      <c r="B18" s="5"/>
      <c r="C18" s="5" t="n">
        <f aca="false">COUNTIFS('AR Open'!$A$2:$A$277,A18)</f>
        <v>2</v>
      </c>
      <c r="D18" s="6" t="n">
        <f aca="false">SUMIFS('AR Open'!$I$2:$I$277,'AR Open'!$A$2:$A$277,A18)</f>
        <v>387.62</v>
      </c>
      <c r="E18" s="6" t="n">
        <f aca="false">SUMIFS('AR Open'!$I$2:$I$277,'AR Open'!$A$2:$A$277,A18,'AR Open'!$J$2:$J$277,"&gt;0")</f>
        <v>0</v>
      </c>
      <c r="F18" s="6" t="n">
        <f aca="false">SUMIFS('AR Open'!$I$2:$I$277,'AR Open'!$A$2:$A$277,A18,'AR Open'!$K$2:$K$277,"90+")</f>
        <v>0</v>
      </c>
      <c r="G18" s="5" t="n">
        <f aca="false">COUNTIFS('Paid - CR match'!$A$4:$A$49,A18)</f>
        <v>0</v>
      </c>
      <c r="H18" s="6" t="n">
        <f aca="false">SUMIFS('Paid - CR match'!$G$4:$G$49,'Paid - CR match'!$A$4:$A$49,A18)</f>
        <v>0</v>
      </c>
    </row>
    <row r="19" customFormat="false" ht="15" hidden="false" customHeight="false" outlineLevel="0" collapsed="false">
      <c r="A19" s="5" t="s">
        <v>33</v>
      </c>
      <c r="B19" s="5"/>
      <c r="C19" s="5" t="n">
        <f aca="false">COUNTIFS('AR Open'!$A$2:$A$277,A19)</f>
        <v>3</v>
      </c>
      <c r="D19" s="6" t="n">
        <f aca="false">SUMIFS('AR Open'!$I$2:$I$277,'AR Open'!$A$2:$A$277,A19)</f>
        <v>296.16</v>
      </c>
      <c r="E19" s="6" t="n">
        <f aca="false">SUMIFS('AR Open'!$I$2:$I$277,'AR Open'!$A$2:$A$277,A19,'AR Open'!$J$2:$J$277,"&gt;0")</f>
        <v>185.06</v>
      </c>
      <c r="F19" s="6" t="n">
        <f aca="false">SUMIFS('AR Open'!$I$2:$I$277,'AR Open'!$A$2:$A$277,A19,'AR Open'!$K$2:$K$277,"90+")</f>
        <v>0</v>
      </c>
      <c r="G19" s="5" t="n">
        <f aca="false">COUNTIFS('Paid - CR match'!$A$4:$A$49,A19)</f>
        <v>0</v>
      </c>
      <c r="H19" s="6" t="n">
        <f aca="false">SUMIFS('Paid - CR match'!$G$4:$G$49,'Paid - CR match'!$A$4:$A$49,A19)</f>
        <v>0</v>
      </c>
    </row>
    <row r="20" customFormat="false" ht="15" hidden="false" customHeight="false" outlineLevel="0" collapsed="false">
      <c r="A20" s="5" t="s">
        <v>34</v>
      </c>
      <c r="B20" s="5"/>
      <c r="C20" s="5" t="n">
        <f aca="false">COUNTIFS('AR Open'!$A$2:$A$277,A20)</f>
        <v>1</v>
      </c>
      <c r="D20" s="6" t="n">
        <f aca="false">SUMIFS('AR Open'!$I$2:$I$277,'AR Open'!$A$2:$A$277,A20)</f>
        <v>256.56</v>
      </c>
      <c r="E20" s="6" t="n">
        <f aca="false">SUMIFS('AR Open'!$I$2:$I$277,'AR Open'!$A$2:$A$277,A20,'AR Open'!$J$2:$J$277,"&gt;0")</f>
        <v>0</v>
      </c>
      <c r="F20" s="6" t="n">
        <f aca="false">SUMIFS('AR Open'!$I$2:$I$277,'AR Open'!$A$2:$A$277,A20,'AR Open'!$K$2:$K$277,"90+")</f>
        <v>0</v>
      </c>
      <c r="G20" s="5" t="n">
        <f aca="false">COUNTIFS('Paid - CR match'!$A$4:$A$49,A20)</f>
        <v>0</v>
      </c>
      <c r="H20" s="6" t="n">
        <f aca="false">SUMIFS('Paid - CR match'!$G$4:$G$49,'Paid - CR match'!$A$4:$A$49,A20)</f>
        <v>0</v>
      </c>
    </row>
    <row r="21" customFormat="false" ht="15" hidden="false" customHeight="false" outlineLevel="0" collapsed="false">
      <c r="A21" s="5" t="s">
        <v>35</v>
      </c>
      <c r="B21" s="5"/>
      <c r="C21" s="5" t="n">
        <f aca="false">COUNTIFS('AR Open'!$A$2:$A$277,A21)</f>
        <v>2</v>
      </c>
      <c r="D21" s="6" t="n">
        <f aca="false">SUMIFS('AR Open'!$I$2:$I$277,'AR Open'!$A$2:$A$277,A21)</f>
        <v>135.3</v>
      </c>
      <c r="E21" s="6" t="n">
        <f aca="false">SUMIFS('AR Open'!$I$2:$I$277,'AR Open'!$A$2:$A$277,A21,'AR Open'!$J$2:$J$277,"&gt;0")</f>
        <v>135.3</v>
      </c>
      <c r="F21" s="6" t="n">
        <f aca="false">SUMIFS('AR Open'!$I$2:$I$277,'AR Open'!$A$2:$A$277,A21,'AR Open'!$K$2:$K$277,"90+")</f>
        <v>61.6</v>
      </c>
      <c r="G21" s="5" t="n">
        <f aca="false">COUNTIFS('Paid - CR match'!$A$4:$A$49,A21)</f>
        <v>0</v>
      </c>
      <c r="H21" s="6" t="n">
        <f aca="false">SUMIFS('Paid - CR match'!$G$4:$G$49,'Paid - CR match'!$A$4:$A$49,A21)</f>
        <v>0</v>
      </c>
    </row>
    <row r="22" customFormat="false" ht="15" hidden="false" customHeight="false" outlineLevel="0" collapsed="false">
      <c r="A22" s="5" t="s">
        <v>36</v>
      </c>
      <c r="B22" s="5"/>
      <c r="C22" s="5" t="n">
        <f aca="false">COUNTIFS('AR Open'!$A$2:$A$277,A22)</f>
        <v>2</v>
      </c>
      <c r="D22" s="6" t="n">
        <f aca="false">SUMIFS('AR Open'!$I$2:$I$277,'AR Open'!$A$2:$A$277,A22)</f>
        <v>126.96</v>
      </c>
      <c r="E22" s="6" t="n">
        <f aca="false">SUMIFS('AR Open'!$I$2:$I$277,'AR Open'!$A$2:$A$277,A22,'AR Open'!$J$2:$J$277,"&gt;0")</f>
        <v>0</v>
      </c>
      <c r="F22" s="6" t="n">
        <f aca="false">SUMIFS('AR Open'!$I$2:$I$277,'AR Open'!$A$2:$A$277,A22,'AR Open'!$K$2:$K$277,"90+")</f>
        <v>0</v>
      </c>
      <c r="G22" s="5" t="n">
        <f aca="false">COUNTIFS('Paid - CR match'!$A$4:$A$49,A22)</f>
        <v>0</v>
      </c>
      <c r="H22" s="6" t="n">
        <f aca="false">SUMIFS('Paid - CR match'!$G$4:$G$49,'Paid - CR match'!$A$4:$A$49,A22)</f>
        <v>0</v>
      </c>
    </row>
    <row r="23" customFormat="false" ht="15" hidden="false" customHeight="false" outlineLevel="0" collapsed="false">
      <c r="A23" s="5" t="s">
        <v>37</v>
      </c>
      <c r="B23" s="5"/>
      <c r="C23" s="5" t="n">
        <f aca="false">COUNTIFS('AR Open'!$A$2:$A$277,A23)</f>
        <v>1</v>
      </c>
      <c r="D23" s="6" t="n">
        <f aca="false">SUMIFS('AR Open'!$I$2:$I$277,'AR Open'!$A$2:$A$277,A23)</f>
        <v>121.48</v>
      </c>
      <c r="E23" s="6" t="n">
        <f aca="false">SUMIFS('AR Open'!$I$2:$I$277,'AR Open'!$A$2:$A$277,A23,'AR Open'!$J$2:$J$277,"&gt;0")</f>
        <v>121.48</v>
      </c>
      <c r="F23" s="6" t="n">
        <f aca="false">SUMIFS('AR Open'!$I$2:$I$277,'AR Open'!$A$2:$A$277,A23,'AR Open'!$K$2:$K$277,"90+")</f>
        <v>0</v>
      </c>
      <c r="G23" s="5" t="n">
        <f aca="false">COUNTIFS('Paid - CR match'!$A$4:$A$49,A23)</f>
        <v>0</v>
      </c>
      <c r="H23" s="6" t="n">
        <f aca="false">SUMIFS('Paid - CR match'!$G$4:$G$49,'Paid - CR match'!$A$4:$A$49,A23)</f>
        <v>0</v>
      </c>
    </row>
    <row r="24" customFormat="false" ht="15" hidden="false" customHeight="false" outlineLevel="0" collapsed="false">
      <c r="A24" s="5" t="s">
        <v>38</v>
      </c>
      <c r="B24" s="5"/>
      <c r="C24" s="5" t="n">
        <f aca="false">COUNTIFS('AR Open'!$A$2:$A$277,A24)</f>
        <v>1</v>
      </c>
      <c r="D24" s="6" t="n">
        <f aca="false">SUMIFS('AR Open'!$I$2:$I$277,'AR Open'!$A$2:$A$277,A24)</f>
        <v>82.1</v>
      </c>
      <c r="E24" s="6" t="n">
        <f aca="false">SUMIFS('AR Open'!$I$2:$I$277,'AR Open'!$A$2:$A$277,A24,'AR Open'!$J$2:$J$277,"&gt;0")</f>
        <v>0</v>
      </c>
      <c r="F24" s="6" t="n">
        <f aca="false">SUMIFS('AR Open'!$I$2:$I$277,'AR Open'!$A$2:$A$277,A24,'AR Open'!$K$2:$K$277,"90+")</f>
        <v>0</v>
      </c>
      <c r="G24" s="5" t="n">
        <f aca="false">COUNTIFS('Paid - CR match'!$A$4:$A$49,A24)</f>
        <v>0</v>
      </c>
      <c r="H24" s="6" t="n">
        <f aca="false">SUMIFS('Paid - CR match'!$G$4:$G$49,'Paid - CR match'!$A$4:$A$49,A24)</f>
        <v>0</v>
      </c>
    </row>
    <row r="25" customFormat="false" ht="15" hidden="false" customHeight="false" outlineLevel="0" collapsed="false">
      <c r="A25" s="5" t="s">
        <v>39</v>
      </c>
      <c r="B25" s="5"/>
      <c r="C25" s="5" t="n">
        <f aca="false">COUNTIFS('AR Open'!$A$2:$A$277,A25)</f>
        <v>1</v>
      </c>
      <c r="D25" s="6" t="n">
        <f aca="false">SUMIFS('AR Open'!$I$2:$I$277,'AR Open'!$A$2:$A$277,A25)</f>
        <v>67.83</v>
      </c>
      <c r="E25" s="6" t="n">
        <f aca="false">SUMIFS('AR Open'!$I$2:$I$277,'AR Open'!$A$2:$A$277,A25,'AR Open'!$J$2:$J$277,"&gt;0")</f>
        <v>0</v>
      </c>
      <c r="F25" s="6" t="n">
        <f aca="false">SUMIFS('AR Open'!$I$2:$I$277,'AR Open'!$A$2:$A$277,A25,'AR Open'!$K$2:$K$277,"90+")</f>
        <v>0</v>
      </c>
      <c r="G25" s="5" t="n">
        <f aca="false">COUNTIFS('Paid - CR match'!$A$4:$A$49,A25)</f>
        <v>0</v>
      </c>
      <c r="H25" s="6" t="n">
        <f aca="false">SUMIFS('Paid - CR match'!$G$4:$G$49,'Paid - CR match'!$A$4:$A$49,A25)</f>
        <v>0</v>
      </c>
    </row>
    <row r="26" customFormat="false" ht="15" hidden="false" customHeight="false" outlineLevel="0" collapsed="false">
      <c r="A26" s="5" t="s">
        <v>40</v>
      </c>
      <c r="B26" s="5"/>
      <c r="C26" s="5" t="n">
        <f aca="false">COUNTIFS('AR Open'!$A$2:$A$277,A26)</f>
        <v>0</v>
      </c>
      <c r="D26" s="6" t="n">
        <f aca="false">SUMIFS('AR Open'!$I$2:$I$277,'AR Open'!$A$2:$A$277,A26)</f>
        <v>0</v>
      </c>
      <c r="E26" s="6" t="n">
        <f aca="false">SUMIFS('AR Open'!$I$2:$I$277,'AR Open'!$A$2:$A$277,A26,'AR Open'!$J$2:$J$277,"&gt;0")</f>
        <v>0</v>
      </c>
      <c r="F26" s="6" t="n">
        <f aca="false">SUMIFS('AR Open'!$I$2:$I$277,'AR Open'!$A$2:$A$277,A26,'AR Open'!$K$2:$K$277,"90+")</f>
        <v>0</v>
      </c>
      <c r="G26" s="5" t="n">
        <f aca="false">COUNTIFS('Paid - CR match'!$A$4:$A$49,A26)</f>
        <v>0</v>
      </c>
      <c r="H26" s="6" t="n">
        <f aca="false">SUMIFS('Paid - CR match'!$G$4:$G$49,'Paid - CR match'!$A$4:$A$49,A26)</f>
        <v>0</v>
      </c>
    </row>
    <row r="27" customFormat="false" ht="15" hidden="false" customHeight="false" outlineLevel="0" collapsed="false">
      <c r="A27" s="5" t="s">
        <v>41</v>
      </c>
      <c r="B27" s="5"/>
      <c r="C27" s="5" t="n">
        <f aca="false">COUNTIFS('AR Open'!$A$2:$A$277,A27)</f>
        <v>1</v>
      </c>
      <c r="D27" s="6" t="n">
        <f aca="false">SUMIFS('AR Open'!$I$2:$I$277,'AR Open'!$A$2:$A$277,A27)</f>
        <v>-4.65</v>
      </c>
      <c r="E27" s="6" t="n">
        <f aca="false">SUMIFS('AR Open'!$I$2:$I$277,'AR Open'!$A$2:$A$277,A27,'AR Open'!$J$2:$J$277,"&gt;0")</f>
        <v>-4.65</v>
      </c>
      <c r="F27" s="6" t="n">
        <f aca="false">SUMIFS('AR Open'!$I$2:$I$277,'AR Open'!$A$2:$A$277,A27,'AR Open'!$K$2:$K$277,"90+")</f>
        <v>-4.65</v>
      </c>
      <c r="G27" s="5" t="n">
        <f aca="false">COUNTIFS('Paid - CR match'!$A$4:$A$49,A27)</f>
        <v>0</v>
      </c>
      <c r="H27" s="6" t="n">
        <f aca="false">SUMIFS('Paid - CR match'!$G$4:$G$49,'Paid - CR match'!$A$4:$A$49,A27)</f>
        <v>0</v>
      </c>
    </row>
    <row r="28" customFormat="false" ht="15" hidden="false" customHeight="false" outlineLevel="0" collapsed="false">
      <c r="A28" s="7" t="s">
        <v>42</v>
      </c>
      <c r="B28" s="7"/>
      <c r="C28" s="7" t="n">
        <f aca="false">SUM(C5:C27)</f>
        <v>276</v>
      </c>
      <c r="D28" s="8" t="n">
        <f aca="false">SUM(D5:D27)</f>
        <v>113825.66</v>
      </c>
      <c r="E28" s="8" t="n">
        <f aca="false">SUM(E5:E27)</f>
        <v>52685.37</v>
      </c>
      <c r="F28" s="8" t="n">
        <f aca="false">SUM(F5:F27)</f>
        <v>27596.73</v>
      </c>
      <c r="G28" s="7" t="n">
        <f aca="false">SUM(G5:G27)</f>
        <v>46</v>
      </c>
      <c r="H28" s="8" t="n">
        <f aca="false">SUM(H5:H27)</f>
        <v>24132.51</v>
      </c>
    </row>
    <row r="30" customFormat="false" ht="15" hidden="false" customHeight="false" outlineLevel="0" collapsed="false">
      <c r="A30" s="2" t="s">
        <v>43</v>
      </c>
    </row>
    <row r="31" customFormat="false" ht="15" hidden="false" customHeight="false" outlineLevel="0" collapsed="false">
      <c r="A31" s="9" t="s">
        <v>44</v>
      </c>
    </row>
    <row r="32" customFormat="false" ht="15" hidden="false" customHeight="false" outlineLevel="0" collapsed="false">
      <c r="A32" s="9" t="s">
        <v>45</v>
      </c>
    </row>
    <row r="33" customFormat="false" ht="15" hidden="false" customHeight="false" outlineLevel="0" collapsed="false">
      <c r="A33" s="9" t="s">
        <v>46</v>
      </c>
    </row>
    <row r="34" customFormat="false" ht="15" hidden="false" customHeight="false" outlineLevel="0" collapsed="false">
      <c r="A34" s="9" t="s">
        <v>47</v>
      </c>
    </row>
    <row r="35" customFormat="false" ht="15" hidden="false" customHeight="false" outlineLevel="0" collapsed="false">
      <c r="A35" s="9" t="s">
        <v>48</v>
      </c>
    </row>
    <row r="36" customFormat="false" ht="15" hidden="false" customHeight="false" outlineLevel="0" collapsed="false">
      <c r="A36" s="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8" min="7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28"/>
    <col collapsed="false" customWidth="true" hidden="false" outlineLevel="0" max="13" min="13" style="0" width="11"/>
  </cols>
  <sheetData>
    <row r="1" customFormat="false" ht="39.55" hidden="false" customHeight="false" outlineLevel="0" collapsed="false">
      <c r="A1" s="4" t="s">
        <v>2</v>
      </c>
      <c r="B1" s="4" t="s">
        <v>3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</row>
    <row r="2" customFormat="false" ht="15" hidden="false" customHeight="false" outlineLevel="0" collapsed="false">
      <c r="A2" s="5" t="s">
        <v>39</v>
      </c>
      <c r="B2" s="5"/>
      <c r="C2" s="5" t="s">
        <v>61</v>
      </c>
      <c r="D2" s="5" t="s">
        <v>62</v>
      </c>
      <c r="E2" s="5" t="s">
        <v>63</v>
      </c>
      <c r="F2" s="5" t="s">
        <v>64</v>
      </c>
      <c r="G2" s="10" t="n">
        <v>46295</v>
      </c>
      <c r="H2" s="10" t="n">
        <v>46325</v>
      </c>
      <c r="I2" s="6" t="n">
        <v>67.83</v>
      </c>
      <c r="J2" s="5" t="n">
        <f aca="false">IF(H2="","",MAX(0,Summary!$B$2-H2))</f>
        <v>0</v>
      </c>
      <c r="K2" s="5" t="str">
        <f aca="false">IF(J2="","No due date",IF(J2=0,"Not due",IF(J2&lt;=30,"1-30",IF(J2&lt;=60,"31-60",IF(J2&lt;=90,"61-90","90+")))))</f>
        <v>Not due</v>
      </c>
      <c r="L2" s="5" t="s">
        <v>65</v>
      </c>
      <c r="M2" s="10" t="n">
        <v>46316</v>
      </c>
    </row>
    <row r="3" customFormat="false" ht="15" hidden="false" customHeight="false" outlineLevel="0" collapsed="false">
      <c r="A3" s="5" t="s">
        <v>25</v>
      </c>
      <c r="B3" s="5"/>
      <c r="C3" s="5" t="s">
        <v>66</v>
      </c>
      <c r="D3" s="5" t="s">
        <v>67</v>
      </c>
      <c r="E3" s="5" t="s">
        <v>68</v>
      </c>
      <c r="F3" s="5" t="s">
        <v>69</v>
      </c>
      <c r="G3" s="10" t="n">
        <v>45658</v>
      </c>
      <c r="H3" s="10" t="n">
        <v>45658</v>
      </c>
      <c r="I3" s="6" t="n">
        <v>954.08</v>
      </c>
      <c r="J3" s="5" t="n">
        <f aca="false">IF(H3="","",MAX(0,Summary!$B$2-H3))</f>
        <v>660</v>
      </c>
      <c r="K3" s="5" t="str">
        <f aca="false">IF(J3="","No due date",IF(J3=0,"Not due",IF(J3&lt;=30,"1-30",IF(J3&lt;=60,"31-60",IF(J3&lt;=90,"61-90","90+")))))</f>
        <v>90+</v>
      </c>
      <c r="L3" s="5" t="s">
        <v>70</v>
      </c>
      <c r="M3" s="10" t="n">
        <v>46316</v>
      </c>
    </row>
    <row r="4" customFormat="false" ht="15" hidden="false" customHeight="false" outlineLevel="0" collapsed="false">
      <c r="A4" s="5" t="s">
        <v>25</v>
      </c>
      <c r="B4" s="5"/>
      <c r="C4" s="5" t="s">
        <v>71</v>
      </c>
      <c r="D4" s="5" t="s">
        <v>67</v>
      </c>
      <c r="E4" s="5" t="s">
        <v>72</v>
      </c>
      <c r="F4" s="5" t="s">
        <v>73</v>
      </c>
      <c r="G4" s="10" t="n">
        <v>45658</v>
      </c>
      <c r="H4" s="10" t="n">
        <v>45658</v>
      </c>
      <c r="I4" s="6" t="n">
        <v>96</v>
      </c>
      <c r="J4" s="5" t="n">
        <f aca="false">IF(H4="","",MAX(0,Summary!$B$2-H4))</f>
        <v>660</v>
      </c>
      <c r="K4" s="5" t="str">
        <f aca="false">IF(J4="","No due date",IF(J4=0,"Not due",IF(J4&lt;=30,"1-30",IF(J4&lt;=60,"31-60",IF(J4&lt;=90,"61-90","90+")))))</f>
        <v>90+</v>
      </c>
      <c r="L4" s="5" t="s">
        <v>70</v>
      </c>
      <c r="M4" s="10" t="n">
        <v>46316</v>
      </c>
    </row>
    <row r="5" customFormat="false" ht="15" hidden="false" customHeight="false" outlineLevel="0" collapsed="false">
      <c r="A5" s="5" t="s">
        <v>25</v>
      </c>
      <c r="B5" s="5"/>
      <c r="C5" s="5" t="s">
        <v>74</v>
      </c>
      <c r="D5" s="5" t="s">
        <v>67</v>
      </c>
      <c r="E5" s="5"/>
      <c r="F5" s="5" t="s">
        <v>75</v>
      </c>
      <c r="G5" s="10" t="n">
        <v>45658</v>
      </c>
      <c r="H5" s="10" t="n">
        <v>45658</v>
      </c>
      <c r="I5" s="6" t="n">
        <v>83</v>
      </c>
      <c r="J5" s="5" t="n">
        <f aca="false">IF(H5="","",MAX(0,Summary!$B$2-H5))</f>
        <v>660</v>
      </c>
      <c r="K5" s="5" t="str">
        <f aca="false">IF(J5="","No due date",IF(J5=0,"Not due",IF(J5&lt;=30,"1-30",IF(J5&lt;=60,"31-60",IF(J5&lt;=90,"61-90","90+")))))</f>
        <v>90+</v>
      </c>
      <c r="L5" s="5" t="s">
        <v>70</v>
      </c>
      <c r="M5" s="10" t="n">
        <v>46316</v>
      </c>
    </row>
    <row r="6" customFormat="false" ht="15" hidden="false" customHeight="false" outlineLevel="0" collapsed="false">
      <c r="A6" s="5" t="s">
        <v>10</v>
      </c>
      <c r="B6" s="5" t="s">
        <v>11</v>
      </c>
      <c r="C6" s="5" t="s">
        <v>76</v>
      </c>
      <c r="D6" s="5" t="s">
        <v>62</v>
      </c>
      <c r="E6" s="5" t="s">
        <v>77</v>
      </c>
      <c r="F6" s="5" t="s">
        <v>78</v>
      </c>
      <c r="G6" s="10" t="n">
        <v>45773</v>
      </c>
      <c r="H6" s="10" t="n">
        <v>45833</v>
      </c>
      <c r="I6" s="6" t="n">
        <v>684.24</v>
      </c>
      <c r="J6" s="5" t="n">
        <f aca="false">IF(H6="","",MAX(0,Summary!$B$2-H6))</f>
        <v>485</v>
      </c>
      <c r="K6" s="5" t="str">
        <f aca="false">IF(J6="","No due date",IF(J6=0,"Not due",IF(J6&lt;=30,"1-30",IF(J6&lt;=60,"31-60",IF(J6&lt;=90,"61-90","90+")))))</f>
        <v>90+</v>
      </c>
      <c r="L6" s="5" t="s">
        <v>79</v>
      </c>
      <c r="M6" s="10" t="n">
        <v>46318</v>
      </c>
    </row>
    <row r="7" customFormat="false" ht="15" hidden="false" customHeight="false" outlineLevel="0" collapsed="false">
      <c r="A7" s="5" t="s">
        <v>10</v>
      </c>
      <c r="B7" s="5" t="s">
        <v>11</v>
      </c>
      <c r="C7" s="5" t="s">
        <v>80</v>
      </c>
      <c r="D7" s="5" t="s">
        <v>62</v>
      </c>
      <c r="E7" s="5" t="s">
        <v>81</v>
      </c>
      <c r="F7" s="5" t="s">
        <v>82</v>
      </c>
      <c r="G7" s="10" t="n">
        <v>45776</v>
      </c>
      <c r="H7" s="10" t="n">
        <v>45836</v>
      </c>
      <c r="I7" s="6" t="n">
        <v>1744.52</v>
      </c>
      <c r="J7" s="5" t="n">
        <f aca="false">IF(H7="","",MAX(0,Summary!$B$2-H7))</f>
        <v>482</v>
      </c>
      <c r="K7" s="5" t="str">
        <f aca="false">IF(J7="","No due date",IF(J7=0,"Not due",IF(J7&lt;=30,"1-30",IF(J7&lt;=60,"31-60",IF(J7&lt;=90,"61-90","90+")))))</f>
        <v>90+</v>
      </c>
      <c r="L7" s="5" t="s">
        <v>79</v>
      </c>
      <c r="M7" s="10" t="n">
        <v>46318</v>
      </c>
    </row>
    <row r="8" customFormat="false" ht="15" hidden="false" customHeight="false" outlineLevel="0" collapsed="false">
      <c r="A8" s="5" t="s">
        <v>10</v>
      </c>
      <c r="B8" s="5" t="s">
        <v>11</v>
      </c>
      <c r="C8" s="5" t="s">
        <v>83</v>
      </c>
      <c r="D8" s="5" t="s">
        <v>62</v>
      </c>
      <c r="E8" s="5" t="s">
        <v>84</v>
      </c>
      <c r="F8" s="5" t="s">
        <v>78</v>
      </c>
      <c r="G8" s="10" t="n">
        <v>45776</v>
      </c>
      <c r="H8" s="10" t="n">
        <v>45836</v>
      </c>
      <c r="I8" s="6" t="n">
        <v>213.29</v>
      </c>
      <c r="J8" s="5" t="n">
        <f aca="false">IF(H8="","",MAX(0,Summary!$B$2-H8))</f>
        <v>482</v>
      </c>
      <c r="K8" s="5" t="str">
        <f aca="false">IF(J8="","No due date",IF(J8=0,"Not due",IF(J8&lt;=30,"1-30",IF(J8&lt;=60,"31-60",IF(J8&lt;=90,"61-90","90+")))))</f>
        <v>90+</v>
      </c>
      <c r="L8" s="5" t="s">
        <v>79</v>
      </c>
      <c r="M8" s="10" t="n">
        <v>46318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85</v>
      </c>
      <c r="D9" s="5" t="s">
        <v>62</v>
      </c>
      <c r="E9" s="5" t="s">
        <v>86</v>
      </c>
      <c r="F9" s="5" t="s">
        <v>82</v>
      </c>
      <c r="G9" s="10" t="n">
        <v>45777</v>
      </c>
      <c r="H9" s="10" t="n">
        <v>45837</v>
      </c>
      <c r="I9" s="6" t="n">
        <v>64.14</v>
      </c>
      <c r="J9" s="5" t="n">
        <f aca="false">IF(H9="","",MAX(0,Summary!$B$2-H9))</f>
        <v>481</v>
      </c>
      <c r="K9" s="5" t="str">
        <f aca="false">IF(J9="","No due date",IF(J9=0,"Not due",IF(J9&lt;=30,"1-30",IF(J9&lt;=60,"31-60",IF(J9&lt;=90,"61-90","90+")))))</f>
        <v>90+</v>
      </c>
      <c r="L9" s="5" t="s">
        <v>79</v>
      </c>
      <c r="M9" s="10" t="n">
        <v>46318</v>
      </c>
    </row>
    <row r="10" customFormat="false" ht="15" hidden="false" customHeight="false" outlineLevel="0" collapsed="false">
      <c r="A10" s="5" t="s">
        <v>10</v>
      </c>
      <c r="B10" s="5" t="s">
        <v>11</v>
      </c>
      <c r="C10" s="5" t="s">
        <v>87</v>
      </c>
      <c r="D10" s="5" t="s">
        <v>62</v>
      </c>
      <c r="E10" s="5" t="s">
        <v>88</v>
      </c>
      <c r="F10" s="5" t="s">
        <v>82</v>
      </c>
      <c r="G10" s="10" t="n">
        <v>45777</v>
      </c>
      <c r="H10" s="10" t="n">
        <v>45837</v>
      </c>
      <c r="I10" s="6" t="n">
        <v>67.98</v>
      </c>
      <c r="J10" s="5" t="n">
        <f aca="false">IF(H10="","",MAX(0,Summary!$B$2-H10))</f>
        <v>481</v>
      </c>
      <c r="K10" s="5" t="str">
        <f aca="false">IF(J10="","No due date",IF(J10=0,"Not due",IF(J10&lt;=30,"1-30",IF(J10&lt;=60,"31-60",IF(J10&lt;=90,"61-90","90+")))))</f>
        <v>90+</v>
      </c>
      <c r="L10" s="5" t="s">
        <v>79</v>
      </c>
      <c r="M10" s="10" t="n">
        <v>46318</v>
      </c>
    </row>
    <row r="11" customFormat="false" ht="15" hidden="false" customHeight="false" outlineLevel="0" collapsed="false">
      <c r="A11" s="5" t="s">
        <v>10</v>
      </c>
      <c r="B11" s="5" t="s">
        <v>11</v>
      </c>
      <c r="C11" s="5" t="s">
        <v>89</v>
      </c>
      <c r="D11" s="5" t="s">
        <v>62</v>
      </c>
      <c r="E11" s="5" t="s">
        <v>90</v>
      </c>
      <c r="F11" s="5" t="s">
        <v>82</v>
      </c>
      <c r="G11" s="10" t="n">
        <v>45777</v>
      </c>
      <c r="H11" s="10" t="n">
        <v>45837</v>
      </c>
      <c r="I11" s="6" t="n">
        <v>80.48</v>
      </c>
      <c r="J11" s="5" t="n">
        <f aca="false">IF(H11="","",MAX(0,Summary!$B$2-H11))</f>
        <v>481</v>
      </c>
      <c r="K11" s="5" t="str">
        <f aca="false">IF(J11="","No due date",IF(J11=0,"Not due",IF(J11&lt;=30,"1-30",IF(J11&lt;=60,"31-60",IF(J11&lt;=90,"61-90","90+")))))</f>
        <v>90+</v>
      </c>
      <c r="L11" s="5" t="s">
        <v>79</v>
      </c>
      <c r="M11" s="10" t="n">
        <v>46318</v>
      </c>
    </row>
    <row r="12" customFormat="false" ht="15" hidden="false" customHeight="false" outlineLevel="0" collapsed="false">
      <c r="A12" s="5" t="s">
        <v>10</v>
      </c>
      <c r="B12" s="5" t="s">
        <v>11</v>
      </c>
      <c r="C12" s="5" t="s">
        <v>91</v>
      </c>
      <c r="D12" s="5" t="s">
        <v>62</v>
      </c>
      <c r="E12" s="5" t="s">
        <v>92</v>
      </c>
      <c r="F12" s="5" t="s">
        <v>82</v>
      </c>
      <c r="G12" s="10" t="n">
        <v>45777</v>
      </c>
      <c r="H12" s="10" t="n">
        <v>45837</v>
      </c>
      <c r="I12" s="6" t="n">
        <v>30.91</v>
      </c>
      <c r="J12" s="5" t="n">
        <f aca="false">IF(H12="","",MAX(0,Summary!$B$2-H12))</f>
        <v>481</v>
      </c>
      <c r="K12" s="5" t="str">
        <f aca="false">IF(J12="","No due date",IF(J12=0,"Not due",IF(J12&lt;=30,"1-30",IF(J12&lt;=60,"31-60",IF(J12&lt;=90,"61-90","90+")))))</f>
        <v>90+</v>
      </c>
      <c r="L12" s="5" t="s">
        <v>79</v>
      </c>
      <c r="M12" s="10" t="n">
        <v>46318</v>
      </c>
    </row>
    <row r="13" customFormat="false" ht="15" hidden="false" customHeight="false" outlineLevel="0" collapsed="false">
      <c r="A13" s="5" t="s">
        <v>10</v>
      </c>
      <c r="B13" s="5" t="s">
        <v>11</v>
      </c>
      <c r="C13" s="5" t="s">
        <v>93</v>
      </c>
      <c r="D13" s="5" t="s">
        <v>62</v>
      </c>
      <c r="E13" s="5" t="s">
        <v>94</v>
      </c>
      <c r="F13" s="5" t="s">
        <v>82</v>
      </c>
      <c r="G13" s="10" t="n">
        <v>45777</v>
      </c>
      <c r="H13" s="10" t="n">
        <v>45837</v>
      </c>
      <c r="I13" s="6" t="n">
        <v>75.46</v>
      </c>
      <c r="J13" s="5" t="n">
        <f aca="false">IF(H13="","",MAX(0,Summary!$B$2-H13))</f>
        <v>481</v>
      </c>
      <c r="K13" s="5" t="str">
        <f aca="false">IF(J13="","No due date",IF(J13=0,"Not due",IF(J13&lt;=30,"1-30",IF(J13&lt;=60,"31-60",IF(J13&lt;=90,"61-90","90+")))))</f>
        <v>90+</v>
      </c>
      <c r="L13" s="5" t="s">
        <v>79</v>
      </c>
      <c r="M13" s="10" t="n">
        <v>46318</v>
      </c>
    </row>
    <row r="14" customFormat="false" ht="15" hidden="false" customHeight="false" outlineLevel="0" collapsed="false">
      <c r="A14" s="5" t="s">
        <v>10</v>
      </c>
      <c r="B14" s="5" t="s">
        <v>11</v>
      </c>
      <c r="C14" s="5" t="s">
        <v>95</v>
      </c>
      <c r="D14" s="5" t="s">
        <v>62</v>
      </c>
      <c r="E14" s="5" t="s">
        <v>96</v>
      </c>
      <c r="F14" s="5" t="s">
        <v>82</v>
      </c>
      <c r="G14" s="10" t="n">
        <v>45797</v>
      </c>
      <c r="H14" s="10" t="n">
        <v>45857</v>
      </c>
      <c r="I14" s="6" t="n">
        <v>68.38</v>
      </c>
      <c r="J14" s="5" t="n">
        <f aca="false">IF(H14="","",MAX(0,Summary!$B$2-H14))</f>
        <v>461</v>
      </c>
      <c r="K14" s="5" t="str">
        <f aca="false">IF(J14="","No due date",IF(J14=0,"Not due",IF(J14&lt;=30,"1-30",IF(J14&lt;=60,"31-60",IF(J14&lt;=90,"61-90","90+")))))</f>
        <v>90+</v>
      </c>
      <c r="L14" s="5" t="s">
        <v>79</v>
      </c>
      <c r="M14" s="10" t="n">
        <v>46318</v>
      </c>
    </row>
    <row r="15" customFormat="false" ht="15" hidden="false" customHeight="false" outlineLevel="0" collapsed="false">
      <c r="A15" s="5" t="s">
        <v>10</v>
      </c>
      <c r="B15" s="5" t="s">
        <v>11</v>
      </c>
      <c r="C15" s="5" t="s">
        <v>97</v>
      </c>
      <c r="D15" s="5" t="s">
        <v>62</v>
      </c>
      <c r="E15" s="5" t="s">
        <v>98</v>
      </c>
      <c r="F15" s="5" t="s">
        <v>99</v>
      </c>
      <c r="G15" s="10" t="n">
        <v>45806</v>
      </c>
      <c r="H15" s="10" t="n">
        <v>45866</v>
      </c>
      <c r="I15" s="6" t="n">
        <v>62.54</v>
      </c>
      <c r="J15" s="5" t="n">
        <f aca="false">IF(H15="","",MAX(0,Summary!$B$2-H15))</f>
        <v>452</v>
      </c>
      <c r="K15" s="5" t="str">
        <f aca="false">IF(J15="","No due date",IF(J15=0,"Not due",IF(J15&lt;=30,"1-30",IF(J15&lt;=60,"31-60",IF(J15&lt;=90,"61-90","90+")))))</f>
        <v>90+</v>
      </c>
      <c r="L15" s="5" t="s">
        <v>79</v>
      </c>
      <c r="M15" s="10" t="n">
        <v>46318</v>
      </c>
    </row>
    <row r="16" customFormat="false" ht="15" hidden="false" customHeight="false" outlineLevel="0" collapsed="false">
      <c r="A16" s="5" t="s">
        <v>10</v>
      </c>
      <c r="B16" s="5" t="s">
        <v>11</v>
      </c>
      <c r="C16" s="5" t="s">
        <v>100</v>
      </c>
      <c r="D16" s="5" t="s">
        <v>62</v>
      </c>
      <c r="E16" s="5" t="s">
        <v>101</v>
      </c>
      <c r="F16" s="5" t="s">
        <v>99</v>
      </c>
      <c r="G16" s="10" t="n">
        <v>45807</v>
      </c>
      <c r="H16" s="10" t="n">
        <v>45867</v>
      </c>
      <c r="I16" s="6" t="n">
        <v>86.53</v>
      </c>
      <c r="J16" s="5" t="n">
        <f aca="false">IF(H16="","",MAX(0,Summary!$B$2-H16))</f>
        <v>451</v>
      </c>
      <c r="K16" s="5" t="str">
        <f aca="false">IF(J16="","No due date",IF(J16=0,"Not due",IF(J16&lt;=30,"1-30",IF(J16&lt;=60,"31-60",IF(J16&lt;=90,"61-90","90+")))))</f>
        <v>90+</v>
      </c>
      <c r="L16" s="5" t="s">
        <v>79</v>
      </c>
      <c r="M16" s="10" t="n">
        <v>46318</v>
      </c>
    </row>
    <row r="17" customFormat="false" ht="15" hidden="false" customHeight="false" outlineLevel="0" collapsed="false">
      <c r="A17" s="5" t="s">
        <v>10</v>
      </c>
      <c r="B17" s="5" t="s">
        <v>11</v>
      </c>
      <c r="C17" s="5" t="s">
        <v>102</v>
      </c>
      <c r="D17" s="5" t="s">
        <v>62</v>
      </c>
      <c r="E17" s="5" t="s">
        <v>103</v>
      </c>
      <c r="F17" s="5" t="s">
        <v>104</v>
      </c>
      <c r="G17" s="10" t="n">
        <v>45817</v>
      </c>
      <c r="H17" s="10" t="n">
        <v>45877</v>
      </c>
      <c r="I17" s="6" t="n">
        <v>74.97</v>
      </c>
      <c r="J17" s="5" t="n">
        <f aca="false">IF(H17="","",MAX(0,Summary!$B$2-H17))</f>
        <v>441</v>
      </c>
      <c r="K17" s="5" t="str">
        <f aca="false">IF(J17="","No due date",IF(J17=0,"Not due",IF(J17&lt;=30,"1-30",IF(J17&lt;=60,"31-60",IF(J17&lt;=90,"61-90","90+")))))</f>
        <v>90+</v>
      </c>
      <c r="L17" s="5" t="s">
        <v>79</v>
      </c>
      <c r="M17" s="10" t="n">
        <v>46318</v>
      </c>
    </row>
    <row r="18" customFormat="false" ht="15" hidden="false" customHeight="false" outlineLevel="0" collapsed="false">
      <c r="A18" s="5" t="s">
        <v>10</v>
      </c>
      <c r="B18" s="5" t="s">
        <v>11</v>
      </c>
      <c r="C18" s="5" t="s">
        <v>105</v>
      </c>
      <c r="D18" s="5" t="s">
        <v>62</v>
      </c>
      <c r="E18" s="5" t="s">
        <v>106</v>
      </c>
      <c r="F18" s="5" t="s">
        <v>82</v>
      </c>
      <c r="G18" s="10" t="n">
        <v>45817</v>
      </c>
      <c r="H18" s="10" t="n">
        <v>45877</v>
      </c>
      <c r="I18" s="6" t="n">
        <v>557.06</v>
      </c>
      <c r="J18" s="5" t="n">
        <f aca="false">IF(H18="","",MAX(0,Summary!$B$2-H18))</f>
        <v>441</v>
      </c>
      <c r="K18" s="5" t="str">
        <f aca="false">IF(J18="","No due date",IF(J18=0,"Not due",IF(J18&lt;=30,"1-30",IF(J18&lt;=60,"31-60",IF(J18&lt;=90,"61-90","90+")))))</f>
        <v>90+</v>
      </c>
      <c r="L18" s="5" t="s">
        <v>79</v>
      </c>
      <c r="M18" s="10" t="n">
        <v>46318</v>
      </c>
    </row>
    <row r="19" customFormat="false" ht="15" hidden="false" customHeight="false" outlineLevel="0" collapsed="false">
      <c r="A19" s="5" t="s">
        <v>10</v>
      </c>
      <c r="B19" s="5" t="s">
        <v>11</v>
      </c>
      <c r="C19" s="5" t="s">
        <v>107</v>
      </c>
      <c r="D19" s="5" t="s">
        <v>62</v>
      </c>
      <c r="E19" s="5" t="s">
        <v>108</v>
      </c>
      <c r="F19" s="5" t="s">
        <v>82</v>
      </c>
      <c r="G19" s="10" t="n">
        <v>45820</v>
      </c>
      <c r="H19" s="10" t="n">
        <v>45880</v>
      </c>
      <c r="I19" s="6" t="n">
        <v>62.54</v>
      </c>
      <c r="J19" s="5" t="n">
        <f aca="false">IF(H19="","",MAX(0,Summary!$B$2-H19))</f>
        <v>438</v>
      </c>
      <c r="K19" s="5" t="str">
        <f aca="false">IF(J19="","No due date",IF(J19=0,"Not due",IF(J19&lt;=30,"1-30",IF(J19&lt;=60,"31-60",IF(J19&lt;=90,"61-90","90+")))))</f>
        <v>90+</v>
      </c>
      <c r="L19" s="5" t="s">
        <v>79</v>
      </c>
      <c r="M19" s="10" t="n">
        <v>46318</v>
      </c>
    </row>
    <row r="20" customFormat="false" ht="15" hidden="false" customHeight="false" outlineLevel="0" collapsed="false">
      <c r="A20" s="5" t="s">
        <v>10</v>
      </c>
      <c r="B20" s="5" t="s">
        <v>11</v>
      </c>
      <c r="C20" s="5" t="s">
        <v>109</v>
      </c>
      <c r="D20" s="5" t="s">
        <v>62</v>
      </c>
      <c r="E20" s="5" t="s">
        <v>110</v>
      </c>
      <c r="F20" s="5" t="s">
        <v>111</v>
      </c>
      <c r="G20" s="10" t="n">
        <v>45820</v>
      </c>
      <c r="H20" s="10" t="n">
        <v>45880</v>
      </c>
      <c r="I20" s="6" t="n">
        <v>179.85</v>
      </c>
      <c r="J20" s="5" t="n">
        <f aca="false">IF(H20="","",MAX(0,Summary!$B$2-H20))</f>
        <v>438</v>
      </c>
      <c r="K20" s="5" t="str">
        <f aca="false">IF(J20="","No due date",IF(J20=0,"Not due",IF(J20&lt;=30,"1-30",IF(J20&lt;=60,"31-60",IF(J20&lt;=90,"61-90","90+")))))</f>
        <v>90+</v>
      </c>
      <c r="L20" s="5" t="s">
        <v>79</v>
      </c>
      <c r="M20" s="10" t="n">
        <v>46318</v>
      </c>
    </row>
    <row r="21" customFormat="false" ht="15" hidden="false" customHeight="false" outlineLevel="0" collapsed="false">
      <c r="A21" s="5" t="s">
        <v>10</v>
      </c>
      <c r="B21" s="5" t="s">
        <v>11</v>
      </c>
      <c r="C21" s="5" t="s">
        <v>112</v>
      </c>
      <c r="D21" s="5" t="s">
        <v>62</v>
      </c>
      <c r="E21" s="5" t="s">
        <v>113</v>
      </c>
      <c r="F21" s="5" t="s">
        <v>82</v>
      </c>
      <c r="G21" s="10" t="n">
        <v>45834</v>
      </c>
      <c r="H21" s="10" t="n">
        <v>45894</v>
      </c>
      <c r="I21" s="6" t="n">
        <v>1334.3</v>
      </c>
      <c r="J21" s="5" t="n">
        <f aca="false">IF(H21="","",MAX(0,Summary!$B$2-H21))</f>
        <v>424</v>
      </c>
      <c r="K21" s="5" t="str">
        <f aca="false">IF(J21="","No due date",IF(J21=0,"Not due",IF(J21&lt;=30,"1-30",IF(J21&lt;=60,"31-60",IF(J21&lt;=90,"61-90","90+")))))</f>
        <v>90+</v>
      </c>
      <c r="L21" s="5" t="s">
        <v>79</v>
      </c>
      <c r="M21" s="10" t="n">
        <v>46318</v>
      </c>
    </row>
    <row r="22" customFormat="false" ht="15" hidden="false" customHeight="false" outlineLevel="0" collapsed="false">
      <c r="A22" s="5" t="s">
        <v>10</v>
      </c>
      <c r="B22" s="5" t="s">
        <v>11</v>
      </c>
      <c r="C22" s="5" t="s">
        <v>114</v>
      </c>
      <c r="D22" s="5" t="s">
        <v>62</v>
      </c>
      <c r="E22" s="5" t="s">
        <v>115</v>
      </c>
      <c r="F22" s="5" t="s">
        <v>82</v>
      </c>
      <c r="G22" s="10" t="n">
        <v>45835</v>
      </c>
      <c r="H22" s="10" t="n">
        <v>45895</v>
      </c>
      <c r="I22" s="6" t="n">
        <v>73.92</v>
      </c>
      <c r="J22" s="5" t="n">
        <f aca="false">IF(H22="","",MAX(0,Summary!$B$2-H22))</f>
        <v>423</v>
      </c>
      <c r="K22" s="5" t="str">
        <f aca="false">IF(J22="","No due date",IF(J22=0,"Not due",IF(J22&lt;=30,"1-30",IF(J22&lt;=60,"31-60",IF(J22&lt;=90,"61-90","90+")))))</f>
        <v>90+</v>
      </c>
      <c r="L22" s="5" t="s">
        <v>79</v>
      </c>
      <c r="M22" s="10" t="n">
        <v>46318</v>
      </c>
    </row>
    <row r="23" customFormat="false" ht="15" hidden="false" customHeight="false" outlineLevel="0" collapsed="false">
      <c r="A23" s="5" t="s">
        <v>10</v>
      </c>
      <c r="B23" s="5" t="s">
        <v>11</v>
      </c>
      <c r="C23" s="5" t="s">
        <v>116</v>
      </c>
      <c r="D23" s="5" t="s">
        <v>62</v>
      </c>
      <c r="E23" s="5" t="s">
        <v>117</v>
      </c>
      <c r="F23" s="5" t="s">
        <v>82</v>
      </c>
      <c r="G23" s="10" t="n">
        <v>45835</v>
      </c>
      <c r="H23" s="10" t="n">
        <v>45895</v>
      </c>
      <c r="I23" s="6" t="n">
        <v>80.91</v>
      </c>
      <c r="J23" s="5" t="n">
        <f aca="false">IF(H23="","",MAX(0,Summary!$B$2-H23))</f>
        <v>423</v>
      </c>
      <c r="K23" s="5" t="str">
        <f aca="false">IF(J23="","No due date",IF(J23=0,"Not due",IF(J23&lt;=30,"1-30",IF(J23&lt;=60,"31-60",IF(J23&lt;=90,"61-90","90+")))))</f>
        <v>90+</v>
      </c>
      <c r="L23" s="5" t="s">
        <v>79</v>
      </c>
      <c r="M23" s="10" t="n">
        <v>46318</v>
      </c>
    </row>
    <row r="24" customFormat="false" ht="15" hidden="false" customHeight="false" outlineLevel="0" collapsed="false">
      <c r="A24" s="5" t="s">
        <v>10</v>
      </c>
      <c r="B24" s="5" t="s">
        <v>11</v>
      </c>
      <c r="C24" s="5" t="s">
        <v>118</v>
      </c>
      <c r="D24" s="5" t="s">
        <v>62</v>
      </c>
      <c r="E24" s="5" t="s">
        <v>119</v>
      </c>
      <c r="F24" s="5" t="s">
        <v>120</v>
      </c>
      <c r="G24" s="10" t="n">
        <v>45838</v>
      </c>
      <c r="H24" s="10" t="n">
        <v>45898</v>
      </c>
      <c r="I24" s="6" t="n">
        <v>112.92</v>
      </c>
      <c r="J24" s="5" t="n">
        <f aca="false">IF(H24="","",MAX(0,Summary!$B$2-H24))</f>
        <v>420</v>
      </c>
      <c r="K24" s="5" t="str">
        <f aca="false">IF(J24="","No due date",IF(J24=0,"Not due",IF(J24&lt;=30,"1-30",IF(J24&lt;=60,"31-60",IF(J24&lt;=90,"61-90","90+")))))</f>
        <v>90+</v>
      </c>
      <c r="L24" s="5" t="s">
        <v>79</v>
      </c>
      <c r="M24" s="10" t="n">
        <v>46318</v>
      </c>
    </row>
    <row r="25" customFormat="false" ht="15" hidden="false" customHeight="false" outlineLevel="0" collapsed="false">
      <c r="A25" s="5" t="s">
        <v>10</v>
      </c>
      <c r="B25" s="5" t="s">
        <v>11</v>
      </c>
      <c r="C25" s="5" t="s">
        <v>121</v>
      </c>
      <c r="D25" s="5" t="s">
        <v>62</v>
      </c>
      <c r="E25" s="5" t="s">
        <v>122</v>
      </c>
      <c r="F25" s="5" t="s">
        <v>123</v>
      </c>
      <c r="G25" s="10" t="n">
        <v>45838</v>
      </c>
      <c r="H25" s="10" t="n">
        <v>45898</v>
      </c>
      <c r="I25" s="6" t="n">
        <v>74.97</v>
      </c>
      <c r="J25" s="5" t="n">
        <f aca="false">IF(H25="","",MAX(0,Summary!$B$2-H25))</f>
        <v>420</v>
      </c>
      <c r="K25" s="5" t="str">
        <f aca="false">IF(J25="","No due date",IF(J25=0,"Not due",IF(J25&lt;=30,"1-30",IF(J25&lt;=60,"31-60",IF(J25&lt;=90,"61-90","90+")))))</f>
        <v>90+</v>
      </c>
      <c r="L25" s="5" t="s">
        <v>79</v>
      </c>
      <c r="M25" s="10" t="n">
        <v>46318</v>
      </c>
    </row>
    <row r="26" customFormat="false" ht="15" hidden="false" customHeight="false" outlineLevel="0" collapsed="false">
      <c r="A26" s="5" t="s">
        <v>10</v>
      </c>
      <c r="B26" s="5" t="s">
        <v>11</v>
      </c>
      <c r="C26" s="5" t="s">
        <v>124</v>
      </c>
      <c r="D26" s="5" t="s">
        <v>62</v>
      </c>
      <c r="E26" s="5" t="s">
        <v>125</v>
      </c>
      <c r="F26" s="5" t="s">
        <v>82</v>
      </c>
      <c r="G26" s="10" t="n">
        <v>45838</v>
      </c>
      <c r="H26" s="10" t="n">
        <v>45898</v>
      </c>
      <c r="I26" s="6" t="n">
        <v>16.28</v>
      </c>
      <c r="J26" s="5" t="n">
        <f aca="false">IF(H26="","",MAX(0,Summary!$B$2-H26))</f>
        <v>420</v>
      </c>
      <c r="K26" s="5" t="str">
        <f aca="false">IF(J26="","No due date",IF(J26=0,"Not due",IF(J26&lt;=30,"1-30",IF(J26&lt;=60,"31-60",IF(J26&lt;=90,"61-90","90+")))))</f>
        <v>90+</v>
      </c>
      <c r="L26" s="5" t="s">
        <v>79</v>
      </c>
      <c r="M26" s="10" t="n">
        <v>46318</v>
      </c>
    </row>
    <row r="27" customFormat="false" ht="15" hidden="false" customHeight="false" outlineLevel="0" collapsed="false">
      <c r="A27" s="5" t="s">
        <v>10</v>
      </c>
      <c r="B27" s="5" t="s">
        <v>11</v>
      </c>
      <c r="C27" s="5" t="s">
        <v>126</v>
      </c>
      <c r="D27" s="5" t="s">
        <v>62</v>
      </c>
      <c r="E27" s="5" t="s">
        <v>127</v>
      </c>
      <c r="F27" s="5" t="s">
        <v>104</v>
      </c>
      <c r="G27" s="10" t="n">
        <v>45838</v>
      </c>
      <c r="H27" s="10" t="n">
        <v>45898</v>
      </c>
      <c r="I27" s="6" t="n">
        <v>269.45</v>
      </c>
      <c r="J27" s="5" t="n">
        <f aca="false">IF(H27="","",MAX(0,Summary!$B$2-H27))</f>
        <v>420</v>
      </c>
      <c r="K27" s="5" t="str">
        <f aca="false">IF(J27="","No due date",IF(J27=0,"Not due",IF(J27&lt;=30,"1-30",IF(J27&lt;=60,"31-60",IF(J27&lt;=90,"61-90","90+")))))</f>
        <v>90+</v>
      </c>
      <c r="L27" s="5" t="s">
        <v>79</v>
      </c>
      <c r="M27" s="10" t="n">
        <v>46318</v>
      </c>
    </row>
    <row r="28" customFormat="false" ht="15" hidden="false" customHeight="false" outlineLevel="0" collapsed="false">
      <c r="A28" s="5" t="s">
        <v>10</v>
      </c>
      <c r="B28" s="5" t="s">
        <v>11</v>
      </c>
      <c r="C28" s="5" t="s">
        <v>128</v>
      </c>
      <c r="D28" s="5" t="s">
        <v>62</v>
      </c>
      <c r="E28" s="5" t="s">
        <v>129</v>
      </c>
      <c r="F28" s="5" t="s">
        <v>130</v>
      </c>
      <c r="G28" s="10" t="n">
        <v>45866</v>
      </c>
      <c r="H28" s="10" t="n">
        <v>45926</v>
      </c>
      <c r="I28" s="6" t="n">
        <v>1105.01</v>
      </c>
      <c r="J28" s="5" t="n">
        <f aca="false">IF(H28="","",MAX(0,Summary!$B$2-H28))</f>
        <v>392</v>
      </c>
      <c r="K28" s="5" t="str">
        <f aca="false">IF(J28="","No due date",IF(J28=0,"Not due",IF(J28&lt;=30,"1-30",IF(J28&lt;=60,"31-60",IF(J28&lt;=90,"61-90","90+")))))</f>
        <v>90+</v>
      </c>
      <c r="L28" s="5" t="s">
        <v>79</v>
      </c>
      <c r="M28" s="10" t="n">
        <v>46318</v>
      </c>
    </row>
    <row r="29" customFormat="false" ht="15" hidden="false" customHeight="false" outlineLevel="0" collapsed="false">
      <c r="A29" s="5" t="s">
        <v>10</v>
      </c>
      <c r="B29" s="5" t="s">
        <v>11</v>
      </c>
      <c r="C29" s="5" t="s">
        <v>131</v>
      </c>
      <c r="D29" s="5" t="s">
        <v>62</v>
      </c>
      <c r="E29" s="5" t="s">
        <v>132</v>
      </c>
      <c r="F29" s="5" t="s">
        <v>133</v>
      </c>
      <c r="G29" s="10" t="n">
        <v>45880</v>
      </c>
      <c r="H29" s="10" t="n">
        <v>45940</v>
      </c>
      <c r="I29" s="6" t="n">
        <v>74.97</v>
      </c>
      <c r="J29" s="5" t="n">
        <f aca="false">IF(H29="","",MAX(0,Summary!$B$2-H29))</f>
        <v>378</v>
      </c>
      <c r="K29" s="5" t="str">
        <f aca="false">IF(J29="","No due date",IF(J29=0,"Not due",IF(J29&lt;=30,"1-30",IF(J29&lt;=60,"31-60",IF(J29&lt;=90,"61-90","90+")))))</f>
        <v>90+</v>
      </c>
      <c r="L29" s="5" t="s">
        <v>79</v>
      </c>
      <c r="M29" s="10" t="n">
        <v>46318</v>
      </c>
    </row>
    <row r="30" customFormat="false" ht="15" hidden="false" customHeight="false" outlineLevel="0" collapsed="false">
      <c r="A30" s="5" t="s">
        <v>10</v>
      </c>
      <c r="B30" s="5" t="s">
        <v>11</v>
      </c>
      <c r="C30" s="5" t="s">
        <v>134</v>
      </c>
      <c r="D30" s="5" t="s">
        <v>62</v>
      </c>
      <c r="E30" s="5" t="s">
        <v>135</v>
      </c>
      <c r="F30" s="5" t="s">
        <v>136</v>
      </c>
      <c r="G30" s="10" t="n">
        <v>45885</v>
      </c>
      <c r="H30" s="10" t="n">
        <v>45945</v>
      </c>
      <c r="I30" s="6" t="n">
        <v>62.54</v>
      </c>
      <c r="J30" s="5" t="n">
        <f aca="false">IF(H30="","",MAX(0,Summary!$B$2-H30))</f>
        <v>373</v>
      </c>
      <c r="K30" s="5" t="str">
        <f aca="false">IF(J30="","No due date",IF(J30=0,"Not due",IF(J30&lt;=30,"1-30",IF(J30&lt;=60,"31-60",IF(J30&lt;=90,"61-90","90+")))))</f>
        <v>90+</v>
      </c>
      <c r="L30" s="5" t="s">
        <v>79</v>
      </c>
      <c r="M30" s="10" t="n">
        <v>46318</v>
      </c>
    </row>
    <row r="31" customFormat="false" ht="15" hidden="false" customHeight="false" outlineLevel="0" collapsed="false">
      <c r="A31" s="5" t="s">
        <v>10</v>
      </c>
      <c r="B31" s="5" t="s">
        <v>11</v>
      </c>
      <c r="C31" s="5" t="s">
        <v>137</v>
      </c>
      <c r="D31" s="5" t="s">
        <v>62</v>
      </c>
      <c r="E31" s="5" t="s">
        <v>138</v>
      </c>
      <c r="F31" s="5" t="s">
        <v>139</v>
      </c>
      <c r="G31" s="10" t="n">
        <v>45896</v>
      </c>
      <c r="H31" s="10" t="n">
        <v>45956</v>
      </c>
      <c r="I31" s="6" t="n">
        <v>62.54</v>
      </c>
      <c r="J31" s="5" t="n">
        <f aca="false">IF(H31="","",MAX(0,Summary!$B$2-H31))</f>
        <v>362</v>
      </c>
      <c r="K31" s="5" t="str">
        <f aca="false">IF(J31="","No due date",IF(J31=0,"Not due",IF(J31&lt;=30,"1-30",IF(J31&lt;=60,"31-60",IF(J31&lt;=90,"61-90","90+")))))</f>
        <v>90+</v>
      </c>
      <c r="L31" s="5" t="s">
        <v>79</v>
      </c>
      <c r="M31" s="10" t="n">
        <v>46318</v>
      </c>
    </row>
    <row r="32" customFormat="false" ht="15" hidden="false" customHeight="false" outlineLevel="0" collapsed="false">
      <c r="A32" s="5" t="s">
        <v>10</v>
      </c>
      <c r="B32" s="5" t="s">
        <v>11</v>
      </c>
      <c r="C32" s="5" t="s">
        <v>140</v>
      </c>
      <c r="D32" s="5" t="s">
        <v>62</v>
      </c>
      <c r="E32" s="5" t="s">
        <v>141</v>
      </c>
      <c r="F32" s="5" t="s">
        <v>78</v>
      </c>
      <c r="G32" s="10" t="n">
        <v>45930</v>
      </c>
      <c r="H32" s="10" t="n">
        <v>45990</v>
      </c>
      <c r="I32" s="6" t="n">
        <v>74.97</v>
      </c>
      <c r="J32" s="5" t="n">
        <f aca="false">IF(H32="","",MAX(0,Summary!$B$2-H32))</f>
        <v>328</v>
      </c>
      <c r="K32" s="5" t="str">
        <f aca="false">IF(J32="","No due date",IF(J32=0,"Not due",IF(J32&lt;=30,"1-30",IF(J32&lt;=60,"31-60",IF(J32&lt;=90,"61-90","90+")))))</f>
        <v>90+</v>
      </c>
      <c r="L32" s="5" t="s">
        <v>79</v>
      </c>
      <c r="M32" s="10" t="n">
        <v>46318</v>
      </c>
    </row>
    <row r="33" customFormat="false" ht="15" hidden="false" customHeight="false" outlineLevel="0" collapsed="false">
      <c r="A33" s="5" t="s">
        <v>10</v>
      </c>
      <c r="B33" s="5" t="s">
        <v>11</v>
      </c>
      <c r="C33" s="5" t="s">
        <v>142</v>
      </c>
      <c r="D33" s="5" t="s">
        <v>62</v>
      </c>
      <c r="E33" s="5" t="s">
        <v>143</v>
      </c>
      <c r="F33" s="5" t="s">
        <v>136</v>
      </c>
      <c r="G33" s="10" t="n">
        <v>45930</v>
      </c>
      <c r="H33" s="10" t="n">
        <v>45990</v>
      </c>
      <c r="I33" s="6" t="n">
        <v>250.02</v>
      </c>
      <c r="J33" s="5" t="n">
        <f aca="false">IF(H33="","",MAX(0,Summary!$B$2-H33))</f>
        <v>328</v>
      </c>
      <c r="K33" s="5" t="str">
        <f aca="false">IF(J33="","No due date",IF(J33=0,"Not due",IF(J33&lt;=30,"1-30",IF(J33&lt;=60,"31-60",IF(J33&lt;=90,"61-90","90+")))))</f>
        <v>90+</v>
      </c>
      <c r="L33" s="5" t="s">
        <v>144</v>
      </c>
      <c r="M33" s="10" t="n">
        <v>46318</v>
      </c>
    </row>
    <row r="34" customFormat="false" ht="15" hidden="false" customHeight="false" outlineLevel="0" collapsed="false">
      <c r="A34" s="5" t="s">
        <v>10</v>
      </c>
      <c r="B34" s="5" t="s">
        <v>11</v>
      </c>
      <c r="C34" s="5" t="s">
        <v>145</v>
      </c>
      <c r="D34" s="5" t="s">
        <v>62</v>
      </c>
      <c r="E34" s="5" t="s">
        <v>146</v>
      </c>
      <c r="F34" s="5" t="s">
        <v>120</v>
      </c>
      <c r="G34" s="10" t="n">
        <v>45930</v>
      </c>
      <c r="H34" s="10" t="n">
        <v>45990</v>
      </c>
      <c r="I34" s="6" t="n">
        <v>32.24</v>
      </c>
      <c r="J34" s="5" t="n">
        <f aca="false">IF(H34="","",MAX(0,Summary!$B$2-H34))</f>
        <v>328</v>
      </c>
      <c r="K34" s="5" t="str">
        <f aca="false">IF(J34="","No due date",IF(J34=0,"Not due",IF(J34&lt;=30,"1-30",IF(J34&lt;=60,"31-60",IF(J34&lt;=90,"61-90","90+")))))</f>
        <v>90+</v>
      </c>
      <c r="L34" s="5" t="s">
        <v>79</v>
      </c>
      <c r="M34" s="10" t="n">
        <v>46318</v>
      </c>
    </row>
    <row r="35" customFormat="false" ht="15" hidden="false" customHeight="false" outlineLevel="0" collapsed="false">
      <c r="A35" s="5" t="s">
        <v>10</v>
      </c>
      <c r="B35" s="5" t="s">
        <v>11</v>
      </c>
      <c r="C35" s="5" t="s">
        <v>147</v>
      </c>
      <c r="D35" s="5" t="s">
        <v>62</v>
      </c>
      <c r="E35" s="5" t="s">
        <v>148</v>
      </c>
      <c r="F35" s="5" t="s">
        <v>149</v>
      </c>
      <c r="G35" s="10" t="n">
        <v>45930</v>
      </c>
      <c r="H35" s="10" t="n">
        <v>45990</v>
      </c>
      <c r="I35" s="6" t="n">
        <v>74.97</v>
      </c>
      <c r="J35" s="5" t="n">
        <f aca="false">IF(H35="","",MAX(0,Summary!$B$2-H35))</f>
        <v>328</v>
      </c>
      <c r="K35" s="5" t="str">
        <f aca="false">IF(J35="","No due date",IF(J35=0,"Not due",IF(J35&lt;=30,"1-30",IF(J35&lt;=60,"31-60",IF(J35&lt;=90,"61-90","90+")))))</f>
        <v>90+</v>
      </c>
      <c r="L35" s="5" t="s">
        <v>79</v>
      </c>
      <c r="M35" s="10" t="n">
        <v>46318</v>
      </c>
    </row>
    <row r="36" customFormat="false" ht="15" hidden="false" customHeight="false" outlineLevel="0" collapsed="false">
      <c r="A36" s="5" t="s">
        <v>10</v>
      </c>
      <c r="B36" s="5" t="s">
        <v>11</v>
      </c>
      <c r="C36" s="5" t="s">
        <v>150</v>
      </c>
      <c r="D36" s="5" t="s">
        <v>62</v>
      </c>
      <c r="E36" s="5" t="s">
        <v>151</v>
      </c>
      <c r="F36" s="5" t="s">
        <v>78</v>
      </c>
      <c r="G36" s="10" t="n">
        <v>45954</v>
      </c>
      <c r="H36" s="10" t="n">
        <v>46014</v>
      </c>
      <c r="I36" s="6" t="n">
        <v>75.46</v>
      </c>
      <c r="J36" s="5" t="n">
        <f aca="false">IF(H36="","",MAX(0,Summary!$B$2-H36))</f>
        <v>304</v>
      </c>
      <c r="K36" s="5" t="str">
        <f aca="false">IF(J36="","No due date",IF(J36=0,"Not due",IF(J36&lt;=30,"1-30",IF(J36&lt;=60,"31-60",IF(J36&lt;=90,"61-90","90+")))))</f>
        <v>90+</v>
      </c>
      <c r="L36" s="5" t="s">
        <v>79</v>
      </c>
      <c r="M36" s="10" t="n">
        <v>46318</v>
      </c>
    </row>
    <row r="37" customFormat="false" ht="15" hidden="false" customHeight="false" outlineLevel="0" collapsed="false">
      <c r="A37" s="5" t="s">
        <v>10</v>
      </c>
      <c r="B37" s="5" t="s">
        <v>11</v>
      </c>
      <c r="C37" s="5" t="s">
        <v>152</v>
      </c>
      <c r="D37" s="5" t="s">
        <v>62</v>
      </c>
      <c r="E37" s="5" t="s">
        <v>153</v>
      </c>
      <c r="F37" s="5" t="s">
        <v>123</v>
      </c>
      <c r="G37" s="10" t="n">
        <v>45958</v>
      </c>
      <c r="H37" s="10" t="n">
        <v>46018</v>
      </c>
      <c r="I37" s="6" t="n">
        <v>945.98</v>
      </c>
      <c r="J37" s="5" t="n">
        <f aca="false">IF(H37="","",MAX(0,Summary!$B$2-H37))</f>
        <v>300</v>
      </c>
      <c r="K37" s="5" t="str">
        <f aca="false">IF(J37="","No due date",IF(J37=0,"Not due",IF(J37&lt;=30,"1-30",IF(J37&lt;=60,"31-60",IF(J37&lt;=90,"61-90","90+")))))</f>
        <v>90+</v>
      </c>
      <c r="L37" s="5" t="s">
        <v>79</v>
      </c>
      <c r="M37" s="10" t="n">
        <v>46318</v>
      </c>
    </row>
    <row r="38" customFormat="false" ht="15" hidden="false" customHeight="false" outlineLevel="0" collapsed="false">
      <c r="A38" s="5" t="s">
        <v>10</v>
      </c>
      <c r="B38" s="5" t="s">
        <v>11</v>
      </c>
      <c r="C38" s="5" t="s">
        <v>154</v>
      </c>
      <c r="D38" s="5" t="s">
        <v>62</v>
      </c>
      <c r="E38" s="5" t="s">
        <v>155</v>
      </c>
      <c r="F38" s="5" t="s">
        <v>78</v>
      </c>
      <c r="G38" s="10" t="n">
        <v>45958</v>
      </c>
      <c r="H38" s="10" t="n">
        <v>46018</v>
      </c>
      <c r="I38" s="6" t="n">
        <v>916.19</v>
      </c>
      <c r="J38" s="5" t="n">
        <f aca="false">IF(H38="","",MAX(0,Summary!$B$2-H38))</f>
        <v>300</v>
      </c>
      <c r="K38" s="5" t="str">
        <f aca="false">IF(J38="","No due date",IF(J38=0,"Not due",IF(J38&lt;=30,"1-30",IF(J38&lt;=60,"31-60",IF(J38&lt;=90,"61-90","90+")))))</f>
        <v>90+</v>
      </c>
      <c r="L38" s="5" t="s">
        <v>144</v>
      </c>
      <c r="M38" s="10" t="n">
        <v>46318</v>
      </c>
    </row>
    <row r="39" customFormat="false" ht="15" hidden="false" customHeight="false" outlineLevel="0" collapsed="false">
      <c r="A39" s="5" t="s">
        <v>10</v>
      </c>
      <c r="B39" s="5" t="s">
        <v>11</v>
      </c>
      <c r="C39" s="5" t="s">
        <v>156</v>
      </c>
      <c r="D39" s="5" t="s">
        <v>62</v>
      </c>
      <c r="E39" s="5" t="s">
        <v>157</v>
      </c>
      <c r="F39" s="5" t="s">
        <v>78</v>
      </c>
      <c r="G39" s="10" t="n">
        <v>45958</v>
      </c>
      <c r="H39" s="10" t="n">
        <v>46018</v>
      </c>
      <c r="I39" s="6" t="n">
        <v>1450.32</v>
      </c>
      <c r="J39" s="5" t="n">
        <f aca="false">IF(H39="","",MAX(0,Summary!$B$2-H39))</f>
        <v>300</v>
      </c>
      <c r="K39" s="5" t="str">
        <f aca="false">IF(J39="","No due date",IF(J39=0,"Not due",IF(J39&lt;=30,"1-30",IF(J39&lt;=60,"31-60",IF(J39&lt;=90,"61-90","90+")))))</f>
        <v>90+</v>
      </c>
      <c r="L39" s="5" t="s">
        <v>144</v>
      </c>
      <c r="M39" s="10" t="n">
        <v>46318</v>
      </c>
    </row>
    <row r="40" customFormat="false" ht="15" hidden="false" customHeight="false" outlineLevel="0" collapsed="false">
      <c r="A40" s="5" t="s">
        <v>10</v>
      </c>
      <c r="B40" s="5" t="s">
        <v>11</v>
      </c>
      <c r="C40" s="5" t="s">
        <v>158</v>
      </c>
      <c r="D40" s="5" t="s">
        <v>62</v>
      </c>
      <c r="E40" s="5" t="s">
        <v>159</v>
      </c>
      <c r="F40" s="5" t="s">
        <v>160</v>
      </c>
      <c r="G40" s="10" t="n">
        <v>45958</v>
      </c>
      <c r="H40" s="10" t="n">
        <v>46018</v>
      </c>
      <c r="I40" s="6" t="n">
        <v>864.05</v>
      </c>
      <c r="J40" s="5" t="n">
        <f aca="false">IF(H40="","",MAX(0,Summary!$B$2-H40))</f>
        <v>300</v>
      </c>
      <c r="K40" s="5" t="str">
        <f aca="false">IF(J40="","No due date",IF(J40=0,"Not due",IF(J40&lt;=30,"1-30",IF(J40&lt;=60,"31-60",IF(J40&lt;=90,"61-90","90+")))))</f>
        <v>90+</v>
      </c>
      <c r="L40" s="5" t="s">
        <v>144</v>
      </c>
      <c r="M40" s="10" t="n">
        <v>46318</v>
      </c>
    </row>
    <row r="41" customFormat="false" ht="15" hidden="false" customHeight="false" outlineLevel="0" collapsed="false">
      <c r="A41" s="5" t="s">
        <v>10</v>
      </c>
      <c r="B41" s="5" t="s">
        <v>11</v>
      </c>
      <c r="C41" s="5" t="s">
        <v>161</v>
      </c>
      <c r="D41" s="5" t="s">
        <v>162</v>
      </c>
      <c r="E41" s="5"/>
      <c r="F41" s="5" t="s">
        <v>163</v>
      </c>
      <c r="G41" s="10" t="n">
        <v>45995</v>
      </c>
      <c r="H41" s="10" t="n">
        <v>45995</v>
      </c>
      <c r="I41" s="6" t="n">
        <v>-154.55</v>
      </c>
      <c r="J41" s="5" t="n">
        <f aca="false">IF(H41="","",MAX(0,Summary!$B$2-H41))</f>
        <v>323</v>
      </c>
      <c r="K41" s="5" t="str">
        <f aca="false">IF(J41="","No due date",IF(J41=0,"Not due",IF(J41&lt;=30,"1-30",IF(J41&lt;=60,"31-60",IF(J41&lt;=90,"61-90","90+")))))</f>
        <v>90+</v>
      </c>
      <c r="L41" s="5"/>
      <c r="M41" s="10" t="n">
        <v>46316</v>
      </c>
    </row>
    <row r="42" customFormat="false" ht="15" hidden="false" customHeight="false" outlineLevel="0" collapsed="false">
      <c r="A42" s="5" t="s">
        <v>10</v>
      </c>
      <c r="B42" s="5" t="s">
        <v>11</v>
      </c>
      <c r="C42" s="5" t="s">
        <v>164</v>
      </c>
      <c r="D42" s="5" t="s">
        <v>62</v>
      </c>
      <c r="E42" s="5" t="s">
        <v>165</v>
      </c>
      <c r="F42" s="5" t="s">
        <v>123</v>
      </c>
      <c r="G42" s="10" t="n">
        <v>45995</v>
      </c>
      <c r="H42" s="10" t="n">
        <v>46055</v>
      </c>
      <c r="I42" s="6" t="n">
        <v>3884.91</v>
      </c>
      <c r="J42" s="5" t="n">
        <f aca="false">IF(H42="","",MAX(0,Summary!$B$2-H42))</f>
        <v>263</v>
      </c>
      <c r="K42" s="5" t="str">
        <f aca="false">IF(J42="","No due date",IF(J42=0,"Not due",IF(J42&lt;=30,"1-30",IF(J42&lt;=60,"31-60",IF(J42&lt;=90,"61-90","90+")))))</f>
        <v>90+</v>
      </c>
      <c r="L42" s="5" t="s">
        <v>79</v>
      </c>
      <c r="M42" s="10" t="n">
        <v>46318</v>
      </c>
    </row>
    <row r="43" customFormat="false" ht="15" hidden="false" customHeight="false" outlineLevel="0" collapsed="false">
      <c r="A43" s="5" t="s">
        <v>10</v>
      </c>
      <c r="B43" s="5" t="s">
        <v>11</v>
      </c>
      <c r="C43" s="5" t="s">
        <v>166</v>
      </c>
      <c r="D43" s="5" t="s">
        <v>62</v>
      </c>
      <c r="E43" s="5" t="s">
        <v>167</v>
      </c>
      <c r="F43" s="5" t="s">
        <v>149</v>
      </c>
      <c r="G43" s="10" t="n">
        <v>45995</v>
      </c>
      <c r="H43" s="10" t="n">
        <v>46055</v>
      </c>
      <c r="I43" s="6" t="n">
        <v>819.5</v>
      </c>
      <c r="J43" s="5" t="n">
        <f aca="false">IF(H43="","",MAX(0,Summary!$B$2-H43))</f>
        <v>263</v>
      </c>
      <c r="K43" s="5" t="str">
        <f aca="false">IF(J43="","No due date",IF(J43=0,"Not due",IF(J43&lt;=30,"1-30",IF(J43&lt;=60,"31-60",IF(J43&lt;=90,"61-90","90+")))))</f>
        <v>90+</v>
      </c>
      <c r="L43" s="5" t="s">
        <v>144</v>
      </c>
      <c r="M43" s="10" t="n">
        <v>46318</v>
      </c>
    </row>
    <row r="44" customFormat="false" ht="15" hidden="false" customHeight="false" outlineLevel="0" collapsed="false">
      <c r="A44" s="5" t="s">
        <v>10</v>
      </c>
      <c r="B44" s="5" t="s">
        <v>11</v>
      </c>
      <c r="C44" s="5" t="s">
        <v>168</v>
      </c>
      <c r="D44" s="5" t="s">
        <v>62</v>
      </c>
      <c r="E44" s="5" t="s">
        <v>169</v>
      </c>
      <c r="F44" s="5" t="s">
        <v>170</v>
      </c>
      <c r="G44" s="10" t="n">
        <v>45995</v>
      </c>
      <c r="H44" s="10" t="n">
        <v>46055</v>
      </c>
      <c r="I44" s="6" t="n">
        <v>433.52</v>
      </c>
      <c r="J44" s="5" t="n">
        <f aca="false">IF(H44="","",MAX(0,Summary!$B$2-H44))</f>
        <v>263</v>
      </c>
      <c r="K44" s="5" t="str">
        <f aca="false">IF(J44="","No due date",IF(J44=0,"Not due",IF(J44&lt;=30,"1-30",IF(J44&lt;=60,"31-60",IF(J44&lt;=90,"61-90","90+")))))</f>
        <v>90+</v>
      </c>
      <c r="L44" s="5" t="s">
        <v>144</v>
      </c>
      <c r="M44" s="10" t="n">
        <v>46318</v>
      </c>
    </row>
    <row r="45" customFormat="false" ht="15" hidden="false" customHeight="false" outlineLevel="0" collapsed="false">
      <c r="A45" s="5" t="s">
        <v>10</v>
      </c>
      <c r="B45" s="5" t="s">
        <v>11</v>
      </c>
      <c r="C45" s="5" t="s">
        <v>171</v>
      </c>
      <c r="D45" s="5" t="s">
        <v>62</v>
      </c>
      <c r="E45" s="5" t="s">
        <v>172</v>
      </c>
      <c r="F45" s="5" t="s">
        <v>170</v>
      </c>
      <c r="G45" s="10" t="n">
        <v>46000</v>
      </c>
      <c r="H45" s="10" t="n">
        <v>46060</v>
      </c>
      <c r="I45" s="6" t="n">
        <v>62.54</v>
      </c>
      <c r="J45" s="5" t="n">
        <f aca="false">IF(H45="","",MAX(0,Summary!$B$2-H45))</f>
        <v>258</v>
      </c>
      <c r="K45" s="5" t="str">
        <f aca="false">IF(J45="","No due date",IF(J45=0,"Not due",IF(J45&lt;=30,"1-30",IF(J45&lt;=60,"31-60",IF(J45&lt;=90,"61-90","90+")))))</f>
        <v>90+</v>
      </c>
      <c r="L45" s="5" t="s">
        <v>79</v>
      </c>
      <c r="M45" s="10" t="n">
        <v>46318</v>
      </c>
    </row>
    <row r="46" customFormat="false" ht="15" hidden="false" customHeight="false" outlineLevel="0" collapsed="false">
      <c r="A46" s="5" t="s">
        <v>10</v>
      </c>
      <c r="B46" s="5" t="s">
        <v>11</v>
      </c>
      <c r="C46" s="5" t="s">
        <v>173</v>
      </c>
      <c r="D46" s="5" t="s">
        <v>62</v>
      </c>
      <c r="E46" s="5" t="s">
        <v>174</v>
      </c>
      <c r="F46" s="5" t="s">
        <v>99</v>
      </c>
      <c r="G46" s="10" t="n">
        <v>46000</v>
      </c>
      <c r="H46" s="10" t="n">
        <v>46060</v>
      </c>
      <c r="I46" s="6" t="n">
        <v>74.97</v>
      </c>
      <c r="J46" s="5" t="n">
        <f aca="false">IF(H46="","",MAX(0,Summary!$B$2-H46))</f>
        <v>258</v>
      </c>
      <c r="K46" s="5" t="str">
        <f aca="false">IF(J46="","No due date",IF(J46=0,"Not due",IF(J46&lt;=30,"1-30",IF(J46&lt;=60,"31-60",IF(J46&lt;=90,"61-90","90+")))))</f>
        <v>90+</v>
      </c>
      <c r="L46" s="5" t="s">
        <v>79</v>
      </c>
      <c r="M46" s="10" t="n">
        <v>46318</v>
      </c>
    </row>
    <row r="47" customFormat="false" ht="15" hidden="false" customHeight="false" outlineLevel="0" collapsed="false">
      <c r="A47" s="5" t="s">
        <v>10</v>
      </c>
      <c r="B47" s="5" t="s">
        <v>11</v>
      </c>
      <c r="C47" s="5" t="s">
        <v>175</v>
      </c>
      <c r="D47" s="5" t="s">
        <v>62</v>
      </c>
      <c r="E47" s="5" t="s">
        <v>176</v>
      </c>
      <c r="F47" s="5" t="s">
        <v>123</v>
      </c>
      <c r="G47" s="10" t="n">
        <v>46000</v>
      </c>
      <c r="H47" s="10" t="n">
        <v>46060</v>
      </c>
      <c r="I47" s="6" t="n">
        <v>75.46</v>
      </c>
      <c r="J47" s="5" t="n">
        <f aca="false">IF(H47="","",MAX(0,Summary!$B$2-H47))</f>
        <v>258</v>
      </c>
      <c r="K47" s="5" t="str">
        <f aca="false">IF(J47="","No due date",IF(J47=0,"Not due",IF(J47&lt;=30,"1-30",IF(J47&lt;=60,"31-60",IF(J47&lt;=90,"61-90","90+")))))</f>
        <v>90+</v>
      </c>
      <c r="L47" s="5" t="s">
        <v>79</v>
      </c>
      <c r="M47" s="10" t="n">
        <v>46318</v>
      </c>
    </row>
    <row r="48" customFormat="false" ht="15" hidden="false" customHeight="false" outlineLevel="0" collapsed="false">
      <c r="A48" s="5" t="s">
        <v>10</v>
      </c>
      <c r="B48" s="5" t="s">
        <v>11</v>
      </c>
      <c r="C48" s="5" t="s">
        <v>177</v>
      </c>
      <c r="D48" s="5" t="s">
        <v>62</v>
      </c>
      <c r="E48" s="5" t="s">
        <v>178</v>
      </c>
      <c r="F48" s="5" t="s">
        <v>120</v>
      </c>
      <c r="G48" s="10" t="n">
        <v>46000</v>
      </c>
      <c r="H48" s="10" t="n">
        <v>46060</v>
      </c>
      <c r="I48" s="6" t="n">
        <v>19.8</v>
      </c>
      <c r="J48" s="5" t="n">
        <f aca="false">IF(H48="","",MAX(0,Summary!$B$2-H48))</f>
        <v>258</v>
      </c>
      <c r="K48" s="5" t="str">
        <f aca="false">IF(J48="","No due date",IF(J48=0,"Not due",IF(J48&lt;=30,"1-30",IF(J48&lt;=60,"31-60",IF(J48&lt;=90,"61-90","90+")))))</f>
        <v>90+</v>
      </c>
      <c r="L48" s="5" t="s">
        <v>79</v>
      </c>
      <c r="M48" s="10" t="n">
        <v>46318</v>
      </c>
    </row>
    <row r="49" customFormat="false" ht="15" hidden="false" customHeight="false" outlineLevel="0" collapsed="false">
      <c r="A49" s="5" t="s">
        <v>10</v>
      </c>
      <c r="B49" s="5" t="s">
        <v>11</v>
      </c>
      <c r="C49" s="5" t="s">
        <v>179</v>
      </c>
      <c r="D49" s="5" t="s">
        <v>62</v>
      </c>
      <c r="E49" s="5" t="s">
        <v>180</v>
      </c>
      <c r="F49" s="5" t="s">
        <v>123</v>
      </c>
      <c r="G49" s="10" t="n">
        <v>46000</v>
      </c>
      <c r="H49" s="10" t="n">
        <v>46060</v>
      </c>
      <c r="I49" s="6" t="n">
        <v>74.97</v>
      </c>
      <c r="J49" s="5" t="n">
        <f aca="false">IF(H49="","",MAX(0,Summary!$B$2-H49))</f>
        <v>258</v>
      </c>
      <c r="K49" s="5" t="str">
        <f aca="false">IF(J49="","No due date",IF(J49=0,"Not due",IF(J49&lt;=30,"1-30",IF(J49&lt;=60,"31-60",IF(J49&lt;=90,"61-90","90+")))))</f>
        <v>90+</v>
      </c>
      <c r="L49" s="5" t="s">
        <v>79</v>
      </c>
      <c r="M49" s="10" t="n">
        <v>46318</v>
      </c>
    </row>
    <row r="50" customFormat="false" ht="15" hidden="false" customHeight="false" outlineLevel="0" collapsed="false">
      <c r="A50" s="5" t="s">
        <v>10</v>
      </c>
      <c r="B50" s="5" t="s">
        <v>11</v>
      </c>
      <c r="C50" s="5" t="s">
        <v>181</v>
      </c>
      <c r="D50" s="5" t="s">
        <v>62</v>
      </c>
      <c r="E50" s="5" t="s">
        <v>182</v>
      </c>
      <c r="F50" s="5" t="s">
        <v>120</v>
      </c>
      <c r="G50" s="10" t="n">
        <v>46000</v>
      </c>
      <c r="H50" s="10" t="n">
        <v>46060</v>
      </c>
      <c r="I50" s="6" t="n">
        <v>151.14</v>
      </c>
      <c r="J50" s="5" t="n">
        <f aca="false">IF(H50="","",MAX(0,Summary!$B$2-H50))</f>
        <v>258</v>
      </c>
      <c r="K50" s="5" t="str">
        <f aca="false">IF(J50="","No due date",IF(J50=0,"Not due",IF(J50&lt;=30,"1-30",IF(J50&lt;=60,"31-60",IF(J50&lt;=90,"61-90","90+")))))</f>
        <v>90+</v>
      </c>
      <c r="L50" s="5" t="s">
        <v>144</v>
      </c>
      <c r="M50" s="10" t="n">
        <v>46318</v>
      </c>
    </row>
    <row r="51" customFormat="false" ht="15" hidden="false" customHeight="false" outlineLevel="0" collapsed="false">
      <c r="A51" s="5" t="s">
        <v>10</v>
      </c>
      <c r="B51" s="5" t="s">
        <v>11</v>
      </c>
      <c r="C51" s="5" t="s">
        <v>183</v>
      </c>
      <c r="D51" s="5" t="s">
        <v>62</v>
      </c>
      <c r="E51" s="5" t="s">
        <v>184</v>
      </c>
      <c r="F51" s="5" t="s">
        <v>99</v>
      </c>
      <c r="G51" s="10" t="n">
        <v>46000</v>
      </c>
      <c r="H51" s="10" t="n">
        <v>46060</v>
      </c>
      <c r="I51" s="6" t="n">
        <v>67.49</v>
      </c>
      <c r="J51" s="5" t="n">
        <f aca="false">IF(H51="","",MAX(0,Summary!$B$2-H51))</f>
        <v>258</v>
      </c>
      <c r="K51" s="5" t="str">
        <f aca="false">IF(J51="","No due date",IF(J51=0,"Not due",IF(J51&lt;=30,"1-30",IF(J51&lt;=60,"31-60",IF(J51&lt;=90,"61-90","90+")))))</f>
        <v>90+</v>
      </c>
      <c r="L51" s="5" t="s">
        <v>79</v>
      </c>
      <c r="M51" s="10" t="n">
        <v>46318</v>
      </c>
    </row>
    <row r="52" customFormat="false" ht="15" hidden="false" customHeight="false" outlineLevel="0" collapsed="false">
      <c r="A52" s="5" t="s">
        <v>10</v>
      </c>
      <c r="B52" s="5" t="s">
        <v>11</v>
      </c>
      <c r="C52" s="5" t="s">
        <v>185</v>
      </c>
      <c r="D52" s="5" t="s">
        <v>62</v>
      </c>
      <c r="E52" s="5" t="s">
        <v>186</v>
      </c>
      <c r="F52" s="5" t="s">
        <v>82</v>
      </c>
      <c r="G52" s="10" t="n">
        <v>46000</v>
      </c>
      <c r="H52" s="10" t="n">
        <v>46060</v>
      </c>
      <c r="I52" s="6" t="n">
        <v>106.65</v>
      </c>
      <c r="J52" s="5" t="n">
        <f aca="false">IF(H52="","",MAX(0,Summary!$B$2-H52))</f>
        <v>258</v>
      </c>
      <c r="K52" s="5" t="str">
        <f aca="false">IF(J52="","No due date",IF(J52=0,"Not due",IF(J52&lt;=30,"1-30",IF(J52&lt;=60,"31-60",IF(J52&lt;=90,"61-90","90+")))))</f>
        <v>90+</v>
      </c>
      <c r="L52" s="5" t="s">
        <v>79</v>
      </c>
      <c r="M52" s="10" t="n">
        <v>46318</v>
      </c>
    </row>
    <row r="53" customFormat="false" ht="15" hidden="false" customHeight="false" outlineLevel="0" collapsed="false">
      <c r="A53" s="5" t="s">
        <v>10</v>
      </c>
      <c r="B53" s="5" t="s">
        <v>11</v>
      </c>
      <c r="C53" s="5" t="s">
        <v>187</v>
      </c>
      <c r="D53" s="5" t="s">
        <v>62</v>
      </c>
      <c r="E53" s="5" t="s">
        <v>188</v>
      </c>
      <c r="F53" s="5" t="s">
        <v>120</v>
      </c>
      <c r="G53" s="10" t="n">
        <v>46000</v>
      </c>
      <c r="H53" s="10" t="n">
        <v>46060</v>
      </c>
      <c r="I53" s="6" t="n">
        <v>74.97</v>
      </c>
      <c r="J53" s="5" t="n">
        <f aca="false">IF(H53="","",MAX(0,Summary!$B$2-H53))</f>
        <v>258</v>
      </c>
      <c r="K53" s="5" t="str">
        <f aca="false">IF(J53="","No due date",IF(J53=0,"Not due",IF(J53&lt;=30,"1-30",IF(J53&lt;=60,"31-60",IF(J53&lt;=90,"61-90","90+")))))</f>
        <v>90+</v>
      </c>
      <c r="L53" s="5" t="s">
        <v>144</v>
      </c>
      <c r="M53" s="10" t="n">
        <v>46318</v>
      </c>
    </row>
    <row r="54" customFormat="false" ht="15" hidden="false" customHeight="false" outlineLevel="0" collapsed="false">
      <c r="A54" s="5" t="s">
        <v>10</v>
      </c>
      <c r="B54" s="5" t="s">
        <v>11</v>
      </c>
      <c r="C54" s="5" t="s">
        <v>189</v>
      </c>
      <c r="D54" s="5" t="s">
        <v>62</v>
      </c>
      <c r="E54" s="5" t="s">
        <v>190</v>
      </c>
      <c r="F54" s="5" t="s">
        <v>149</v>
      </c>
      <c r="G54" s="10" t="n">
        <v>46003</v>
      </c>
      <c r="H54" s="10" t="n">
        <v>46063</v>
      </c>
      <c r="I54" s="6" t="n">
        <v>1393.32</v>
      </c>
      <c r="J54" s="5" t="n">
        <f aca="false">IF(H54="","",MAX(0,Summary!$B$2-H54))</f>
        <v>255</v>
      </c>
      <c r="K54" s="5" t="str">
        <f aca="false">IF(J54="","No due date",IF(J54=0,"Not due",IF(J54&lt;=30,"1-30",IF(J54&lt;=60,"31-60",IF(J54&lt;=90,"61-90","90+")))))</f>
        <v>90+</v>
      </c>
      <c r="L54" s="5" t="s">
        <v>79</v>
      </c>
      <c r="M54" s="10" t="n">
        <v>46318</v>
      </c>
    </row>
    <row r="55" customFormat="false" ht="15" hidden="false" customHeight="false" outlineLevel="0" collapsed="false">
      <c r="A55" s="5" t="s">
        <v>10</v>
      </c>
      <c r="B55" s="5" t="s">
        <v>11</v>
      </c>
      <c r="C55" s="5" t="s">
        <v>191</v>
      </c>
      <c r="D55" s="5" t="s">
        <v>62</v>
      </c>
      <c r="E55" s="5" t="s">
        <v>192</v>
      </c>
      <c r="F55" s="5" t="s">
        <v>193</v>
      </c>
      <c r="G55" s="10" t="n">
        <v>46008</v>
      </c>
      <c r="H55" s="10" t="n">
        <v>46068</v>
      </c>
      <c r="I55" s="6" t="n">
        <v>341</v>
      </c>
      <c r="J55" s="5" t="n">
        <f aca="false">IF(H55="","",MAX(0,Summary!$B$2-H55))</f>
        <v>250</v>
      </c>
      <c r="K55" s="5" t="str">
        <f aca="false">IF(J55="","No due date",IF(J55=0,"Not due",IF(J55&lt;=30,"1-30",IF(J55&lt;=60,"31-60",IF(J55&lt;=90,"61-90","90+")))))</f>
        <v>90+</v>
      </c>
      <c r="L55" s="5" t="s">
        <v>144</v>
      </c>
      <c r="M55" s="10" t="n">
        <v>46318</v>
      </c>
    </row>
    <row r="56" customFormat="false" ht="15" hidden="false" customHeight="false" outlineLevel="0" collapsed="false">
      <c r="A56" s="5" t="s">
        <v>10</v>
      </c>
      <c r="B56" s="5" t="s">
        <v>11</v>
      </c>
      <c r="C56" s="5" t="s">
        <v>194</v>
      </c>
      <c r="D56" s="5" t="s">
        <v>62</v>
      </c>
      <c r="E56" s="5" t="s">
        <v>195</v>
      </c>
      <c r="F56" s="5" t="s">
        <v>123</v>
      </c>
      <c r="G56" s="10" t="n">
        <v>46008</v>
      </c>
      <c r="H56" s="10" t="n">
        <v>46068</v>
      </c>
      <c r="I56" s="6" t="n">
        <v>111.8</v>
      </c>
      <c r="J56" s="5" t="n">
        <f aca="false">IF(H56="","",MAX(0,Summary!$B$2-H56))</f>
        <v>250</v>
      </c>
      <c r="K56" s="5" t="str">
        <f aca="false">IF(J56="","No due date",IF(J56=0,"Not due",IF(J56&lt;=30,"1-30",IF(J56&lt;=60,"31-60",IF(J56&lt;=90,"61-90","90+")))))</f>
        <v>90+</v>
      </c>
      <c r="L56" s="5" t="s">
        <v>79</v>
      </c>
      <c r="M56" s="10" t="n">
        <v>46318</v>
      </c>
    </row>
    <row r="57" customFormat="false" ht="15" hidden="false" customHeight="false" outlineLevel="0" collapsed="false">
      <c r="A57" s="5" t="s">
        <v>10</v>
      </c>
      <c r="B57" s="5" t="s">
        <v>11</v>
      </c>
      <c r="C57" s="5" t="s">
        <v>196</v>
      </c>
      <c r="D57" s="5" t="s">
        <v>62</v>
      </c>
      <c r="E57" s="5" t="s">
        <v>197</v>
      </c>
      <c r="F57" s="5" t="s">
        <v>198</v>
      </c>
      <c r="G57" s="10" t="n">
        <v>46008</v>
      </c>
      <c r="H57" s="10" t="n">
        <v>46068</v>
      </c>
      <c r="I57" s="6" t="n">
        <v>77.08</v>
      </c>
      <c r="J57" s="5" t="n">
        <f aca="false">IF(H57="","",MAX(0,Summary!$B$2-H57))</f>
        <v>250</v>
      </c>
      <c r="K57" s="5" t="str">
        <f aca="false">IF(J57="","No due date",IF(J57=0,"Not due",IF(J57&lt;=30,"1-30",IF(J57&lt;=60,"31-60",IF(J57&lt;=90,"61-90","90+")))))</f>
        <v>90+</v>
      </c>
      <c r="L57" s="5" t="s">
        <v>79</v>
      </c>
      <c r="M57" s="10" t="n">
        <v>46318</v>
      </c>
    </row>
    <row r="58" customFormat="false" ht="15" hidden="false" customHeight="false" outlineLevel="0" collapsed="false">
      <c r="A58" s="5" t="s">
        <v>10</v>
      </c>
      <c r="B58" s="5" t="s">
        <v>11</v>
      </c>
      <c r="C58" s="5" t="s">
        <v>199</v>
      </c>
      <c r="D58" s="5" t="s">
        <v>62</v>
      </c>
      <c r="E58" s="5" t="s">
        <v>200</v>
      </c>
      <c r="F58" s="5" t="s">
        <v>193</v>
      </c>
      <c r="G58" s="10" t="n">
        <v>46008</v>
      </c>
      <c r="H58" s="10" t="n">
        <v>46068</v>
      </c>
      <c r="I58" s="6" t="n">
        <v>74.97</v>
      </c>
      <c r="J58" s="5" t="n">
        <f aca="false">IF(H58="","",MAX(0,Summary!$B$2-H58))</f>
        <v>250</v>
      </c>
      <c r="K58" s="5" t="str">
        <f aca="false">IF(J58="","No due date",IF(J58=0,"Not due",IF(J58&lt;=30,"1-30",IF(J58&lt;=60,"31-60",IF(J58&lt;=90,"61-90","90+")))))</f>
        <v>90+</v>
      </c>
      <c r="L58" s="5" t="s">
        <v>79</v>
      </c>
      <c r="M58" s="10" t="n">
        <v>46318</v>
      </c>
    </row>
    <row r="59" customFormat="false" ht="15" hidden="false" customHeight="false" outlineLevel="0" collapsed="false">
      <c r="A59" s="5" t="s">
        <v>10</v>
      </c>
      <c r="B59" s="5" t="s">
        <v>11</v>
      </c>
      <c r="C59" s="5" t="s">
        <v>201</v>
      </c>
      <c r="D59" s="5" t="s">
        <v>62</v>
      </c>
      <c r="E59" s="5" t="s">
        <v>202</v>
      </c>
      <c r="F59" s="5" t="s">
        <v>123</v>
      </c>
      <c r="G59" s="10" t="n">
        <v>46008</v>
      </c>
      <c r="H59" s="10" t="n">
        <v>46068</v>
      </c>
      <c r="I59" s="6" t="n">
        <v>80.85</v>
      </c>
      <c r="J59" s="5" t="n">
        <f aca="false">IF(H59="","",MAX(0,Summary!$B$2-H59))</f>
        <v>250</v>
      </c>
      <c r="K59" s="5" t="str">
        <f aca="false">IF(J59="","No due date",IF(J59=0,"Not due",IF(J59&lt;=30,"1-30",IF(J59&lt;=60,"31-60",IF(J59&lt;=90,"61-90","90+")))))</f>
        <v>90+</v>
      </c>
      <c r="L59" s="5" t="s">
        <v>79</v>
      </c>
      <c r="M59" s="10" t="n">
        <v>46318</v>
      </c>
    </row>
    <row r="60" customFormat="false" ht="15" hidden="false" customHeight="false" outlineLevel="0" collapsed="false">
      <c r="A60" s="5" t="s">
        <v>10</v>
      </c>
      <c r="B60" s="5" t="s">
        <v>11</v>
      </c>
      <c r="C60" s="5" t="s">
        <v>203</v>
      </c>
      <c r="D60" s="5" t="s">
        <v>62</v>
      </c>
      <c r="E60" s="5" t="s">
        <v>204</v>
      </c>
      <c r="F60" s="5" t="s">
        <v>123</v>
      </c>
      <c r="G60" s="10" t="n">
        <v>46008</v>
      </c>
      <c r="H60" s="10" t="n">
        <v>46068</v>
      </c>
      <c r="I60" s="6" t="n">
        <v>74.97</v>
      </c>
      <c r="J60" s="5" t="n">
        <f aca="false">IF(H60="","",MAX(0,Summary!$B$2-H60))</f>
        <v>250</v>
      </c>
      <c r="K60" s="5" t="str">
        <f aca="false">IF(J60="","No due date",IF(J60=0,"Not due",IF(J60&lt;=30,"1-30",IF(J60&lt;=60,"31-60",IF(J60&lt;=90,"61-90","90+")))))</f>
        <v>90+</v>
      </c>
      <c r="L60" s="5" t="s">
        <v>79</v>
      </c>
      <c r="M60" s="10" t="n">
        <v>46318</v>
      </c>
    </row>
    <row r="61" customFormat="false" ht="15" hidden="false" customHeight="false" outlineLevel="0" collapsed="false">
      <c r="A61" s="5" t="s">
        <v>10</v>
      </c>
      <c r="B61" s="5" t="s">
        <v>11</v>
      </c>
      <c r="C61" s="5" t="s">
        <v>205</v>
      </c>
      <c r="D61" s="5" t="s">
        <v>62</v>
      </c>
      <c r="E61" s="5" t="s">
        <v>206</v>
      </c>
      <c r="F61" s="5" t="s">
        <v>104</v>
      </c>
      <c r="G61" s="10" t="n">
        <v>46008</v>
      </c>
      <c r="H61" s="10" t="n">
        <v>46068</v>
      </c>
      <c r="I61" s="6" t="n">
        <v>74.97</v>
      </c>
      <c r="J61" s="5" t="n">
        <f aca="false">IF(H61="","",MAX(0,Summary!$B$2-H61))</f>
        <v>250</v>
      </c>
      <c r="K61" s="5" t="str">
        <f aca="false">IF(J61="","No due date",IF(J61=0,"Not due",IF(J61&lt;=30,"1-30",IF(J61&lt;=60,"31-60",IF(J61&lt;=90,"61-90","90+")))))</f>
        <v>90+</v>
      </c>
      <c r="L61" s="5" t="s">
        <v>79</v>
      </c>
      <c r="M61" s="10" t="n">
        <v>46318</v>
      </c>
    </row>
    <row r="62" customFormat="false" ht="15" hidden="false" customHeight="false" outlineLevel="0" collapsed="false">
      <c r="A62" s="5" t="s">
        <v>10</v>
      </c>
      <c r="B62" s="5" t="s">
        <v>11</v>
      </c>
      <c r="C62" s="5" t="s">
        <v>207</v>
      </c>
      <c r="D62" s="5" t="s">
        <v>62</v>
      </c>
      <c r="E62" s="5" t="s">
        <v>208</v>
      </c>
      <c r="F62" s="5" t="s">
        <v>82</v>
      </c>
      <c r="G62" s="10" t="n">
        <v>46009</v>
      </c>
      <c r="H62" s="10" t="n">
        <v>46069</v>
      </c>
      <c r="I62" s="6" t="n">
        <v>359.7</v>
      </c>
      <c r="J62" s="5" t="n">
        <f aca="false">IF(H62="","",MAX(0,Summary!$B$2-H62))</f>
        <v>249</v>
      </c>
      <c r="K62" s="5" t="str">
        <f aca="false">IF(J62="","No due date",IF(J62=0,"Not due",IF(J62&lt;=30,"1-30",IF(J62&lt;=60,"31-60",IF(J62&lt;=90,"61-90","90+")))))</f>
        <v>90+</v>
      </c>
      <c r="L62" s="5" t="s">
        <v>144</v>
      </c>
      <c r="M62" s="10" t="n">
        <v>46318</v>
      </c>
    </row>
    <row r="63" customFormat="false" ht="15" hidden="false" customHeight="false" outlineLevel="0" collapsed="false">
      <c r="A63" s="5" t="s">
        <v>10</v>
      </c>
      <c r="B63" s="5" t="s">
        <v>11</v>
      </c>
      <c r="C63" s="5" t="s">
        <v>209</v>
      </c>
      <c r="D63" s="5" t="s">
        <v>62</v>
      </c>
      <c r="E63" s="5" t="s">
        <v>210</v>
      </c>
      <c r="F63" s="5" t="s">
        <v>120</v>
      </c>
      <c r="G63" s="10" t="n">
        <v>46009</v>
      </c>
      <c r="H63" s="10" t="n">
        <v>46069</v>
      </c>
      <c r="I63" s="6" t="n">
        <v>97.46</v>
      </c>
      <c r="J63" s="5" t="n">
        <f aca="false">IF(H63="","",MAX(0,Summary!$B$2-H63))</f>
        <v>249</v>
      </c>
      <c r="K63" s="5" t="str">
        <f aca="false">IF(J63="","No due date",IF(J63=0,"Not due",IF(J63&lt;=30,"1-30",IF(J63&lt;=60,"31-60",IF(J63&lt;=90,"61-90","90+")))))</f>
        <v>90+</v>
      </c>
      <c r="L63" s="5" t="s">
        <v>144</v>
      </c>
      <c r="M63" s="10" t="n">
        <v>46318</v>
      </c>
    </row>
    <row r="64" customFormat="false" ht="15" hidden="false" customHeight="false" outlineLevel="0" collapsed="false">
      <c r="A64" s="5" t="s">
        <v>10</v>
      </c>
      <c r="B64" s="5" t="s">
        <v>11</v>
      </c>
      <c r="C64" s="5" t="s">
        <v>211</v>
      </c>
      <c r="D64" s="5" t="s">
        <v>62</v>
      </c>
      <c r="E64" s="5" t="s">
        <v>212</v>
      </c>
      <c r="F64" s="5" t="s">
        <v>133</v>
      </c>
      <c r="G64" s="10" t="n">
        <v>46009</v>
      </c>
      <c r="H64" s="10" t="n">
        <v>46069</v>
      </c>
      <c r="I64" s="6" t="n">
        <v>361.71</v>
      </c>
      <c r="J64" s="5" t="n">
        <f aca="false">IF(H64="","",MAX(0,Summary!$B$2-H64))</f>
        <v>249</v>
      </c>
      <c r="K64" s="5" t="str">
        <f aca="false">IF(J64="","No due date",IF(J64=0,"Not due",IF(J64&lt;=30,"1-30",IF(J64&lt;=60,"31-60",IF(J64&lt;=90,"61-90","90+")))))</f>
        <v>90+</v>
      </c>
      <c r="L64" s="5" t="s">
        <v>79</v>
      </c>
      <c r="M64" s="10" t="n">
        <v>46318</v>
      </c>
    </row>
    <row r="65" customFormat="false" ht="15" hidden="false" customHeight="false" outlineLevel="0" collapsed="false">
      <c r="A65" s="5" t="s">
        <v>10</v>
      </c>
      <c r="B65" s="5" t="s">
        <v>11</v>
      </c>
      <c r="C65" s="5" t="s">
        <v>213</v>
      </c>
      <c r="D65" s="5" t="s">
        <v>62</v>
      </c>
      <c r="E65" s="5" t="s">
        <v>214</v>
      </c>
      <c r="F65" s="5" t="s">
        <v>120</v>
      </c>
      <c r="G65" s="10" t="n">
        <v>46030</v>
      </c>
      <c r="H65" s="10" t="n">
        <v>46090</v>
      </c>
      <c r="I65" s="6" t="n">
        <v>62.54</v>
      </c>
      <c r="J65" s="5" t="n">
        <f aca="false">IF(H65="","",MAX(0,Summary!$B$2-H65))</f>
        <v>228</v>
      </c>
      <c r="K65" s="5" t="str">
        <f aca="false">IF(J65="","No due date",IF(J65=0,"Not due",IF(J65&lt;=30,"1-30",IF(J65&lt;=60,"31-60",IF(J65&lt;=90,"61-90","90+")))))</f>
        <v>90+</v>
      </c>
      <c r="L65" s="5" t="s">
        <v>79</v>
      </c>
      <c r="M65" s="10" t="n">
        <v>46318</v>
      </c>
    </row>
    <row r="66" customFormat="false" ht="15" hidden="false" customHeight="false" outlineLevel="0" collapsed="false">
      <c r="A66" s="5" t="s">
        <v>10</v>
      </c>
      <c r="B66" s="5" t="s">
        <v>11</v>
      </c>
      <c r="C66" s="5" t="s">
        <v>215</v>
      </c>
      <c r="D66" s="5" t="s">
        <v>62</v>
      </c>
      <c r="E66" s="5" t="s">
        <v>216</v>
      </c>
      <c r="F66" s="5" t="s">
        <v>198</v>
      </c>
      <c r="G66" s="10" t="n">
        <v>46030</v>
      </c>
      <c r="H66" s="10" t="n">
        <v>46090</v>
      </c>
      <c r="I66" s="6" t="n">
        <v>613.81</v>
      </c>
      <c r="J66" s="5" t="n">
        <f aca="false">IF(H66="","",MAX(0,Summary!$B$2-H66))</f>
        <v>228</v>
      </c>
      <c r="K66" s="5" t="str">
        <f aca="false">IF(J66="","No due date",IF(J66=0,"Not due",IF(J66&lt;=30,"1-30",IF(J66&lt;=60,"31-60",IF(J66&lt;=90,"61-90","90+")))))</f>
        <v>90+</v>
      </c>
      <c r="L66" s="5" t="s">
        <v>79</v>
      </c>
      <c r="M66" s="10" t="n">
        <v>46318</v>
      </c>
    </row>
    <row r="67" customFormat="false" ht="15" hidden="false" customHeight="false" outlineLevel="0" collapsed="false">
      <c r="A67" s="5" t="s">
        <v>10</v>
      </c>
      <c r="B67" s="5" t="s">
        <v>11</v>
      </c>
      <c r="C67" s="5" t="s">
        <v>217</v>
      </c>
      <c r="D67" s="5" t="s">
        <v>62</v>
      </c>
      <c r="E67" s="5" t="s">
        <v>218</v>
      </c>
      <c r="F67" s="5" t="s">
        <v>219</v>
      </c>
      <c r="G67" s="10" t="n">
        <v>46030</v>
      </c>
      <c r="H67" s="10" t="n">
        <v>46090</v>
      </c>
      <c r="I67" s="6" t="n">
        <v>92.07</v>
      </c>
      <c r="J67" s="5" t="n">
        <f aca="false">IF(H67="","",MAX(0,Summary!$B$2-H67))</f>
        <v>228</v>
      </c>
      <c r="K67" s="5" t="str">
        <f aca="false">IF(J67="","No due date",IF(J67=0,"Not due",IF(J67&lt;=30,"1-30",IF(J67&lt;=60,"31-60",IF(J67&lt;=90,"61-90","90+")))))</f>
        <v>90+</v>
      </c>
      <c r="L67" s="5" t="s">
        <v>79</v>
      </c>
      <c r="M67" s="10" t="n">
        <v>46318</v>
      </c>
    </row>
    <row r="68" customFormat="false" ht="15" hidden="false" customHeight="false" outlineLevel="0" collapsed="false">
      <c r="A68" s="5" t="s">
        <v>10</v>
      </c>
      <c r="B68" s="5" t="s">
        <v>11</v>
      </c>
      <c r="C68" s="5" t="s">
        <v>220</v>
      </c>
      <c r="D68" s="5" t="s">
        <v>62</v>
      </c>
      <c r="E68" s="5" t="s">
        <v>221</v>
      </c>
      <c r="F68" s="5" t="s">
        <v>82</v>
      </c>
      <c r="G68" s="10" t="n">
        <v>46030</v>
      </c>
      <c r="H68" s="10" t="n">
        <v>46090</v>
      </c>
      <c r="I68" s="6" t="n">
        <v>447.12</v>
      </c>
      <c r="J68" s="5" t="n">
        <f aca="false">IF(H68="","",MAX(0,Summary!$B$2-H68))</f>
        <v>228</v>
      </c>
      <c r="K68" s="5" t="str">
        <f aca="false">IF(J68="","No due date",IF(J68=0,"Not due",IF(J68&lt;=30,"1-30",IF(J68&lt;=60,"31-60",IF(J68&lt;=90,"61-90","90+")))))</f>
        <v>90+</v>
      </c>
      <c r="L68" s="5" t="s">
        <v>79</v>
      </c>
      <c r="M68" s="10" t="n">
        <v>46318</v>
      </c>
    </row>
    <row r="69" customFormat="false" ht="15" hidden="false" customHeight="false" outlineLevel="0" collapsed="false">
      <c r="A69" s="5" t="s">
        <v>10</v>
      </c>
      <c r="B69" s="5" t="s">
        <v>11</v>
      </c>
      <c r="C69" s="5" t="s">
        <v>222</v>
      </c>
      <c r="D69" s="5" t="s">
        <v>62</v>
      </c>
      <c r="E69" s="5" t="s">
        <v>223</v>
      </c>
      <c r="F69" s="5" t="s">
        <v>193</v>
      </c>
      <c r="G69" s="10" t="n">
        <v>46037</v>
      </c>
      <c r="H69" s="10" t="n">
        <v>46097</v>
      </c>
      <c r="I69" s="6" t="n">
        <v>93.28</v>
      </c>
      <c r="J69" s="5" t="n">
        <f aca="false">IF(H69="","",MAX(0,Summary!$B$2-H69))</f>
        <v>221</v>
      </c>
      <c r="K69" s="5" t="str">
        <f aca="false">IF(J69="","No due date",IF(J69=0,"Not due",IF(J69&lt;=30,"1-30",IF(J69&lt;=60,"31-60",IF(J69&lt;=90,"61-90","90+")))))</f>
        <v>90+</v>
      </c>
      <c r="L69" s="5" t="s">
        <v>79</v>
      </c>
      <c r="M69" s="10" t="n">
        <v>46318</v>
      </c>
    </row>
    <row r="70" customFormat="false" ht="15" hidden="false" customHeight="false" outlineLevel="0" collapsed="false">
      <c r="A70" s="5" t="s">
        <v>10</v>
      </c>
      <c r="B70" s="5" t="s">
        <v>11</v>
      </c>
      <c r="C70" s="5" t="s">
        <v>224</v>
      </c>
      <c r="D70" s="5" t="s">
        <v>62</v>
      </c>
      <c r="E70" s="5" t="s">
        <v>225</v>
      </c>
      <c r="F70" s="5" t="s">
        <v>120</v>
      </c>
      <c r="G70" s="10" t="n">
        <v>46057</v>
      </c>
      <c r="H70" s="10" t="n">
        <v>46117</v>
      </c>
      <c r="I70" s="6" t="n">
        <v>377.41</v>
      </c>
      <c r="J70" s="5" t="n">
        <f aca="false">IF(H70="","",MAX(0,Summary!$B$2-H70))</f>
        <v>201</v>
      </c>
      <c r="K70" s="5" t="str">
        <f aca="false">IF(J70="","No due date",IF(J70=0,"Not due",IF(J70&lt;=30,"1-30",IF(J70&lt;=60,"31-60",IF(J70&lt;=90,"61-90","90+")))))</f>
        <v>90+</v>
      </c>
      <c r="L70" s="5" t="s">
        <v>79</v>
      </c>
      <c r="M70" s="10" t="n">
        <v>46318</v>
      </c>
    </row>
    <row r="71" customFormat="false" ht="15" hidden="false" customHeight="false" outlineLevel="0" collapsed="false">
      <c r="A71" s="5" t="s">
        <v>10</v>
      </c>
      <c r="B71" s="5" t="s">
        <v>11</v>
      </c>
      <c r="C71" s="5" t="s">
        <v>226</v>
      </c>
      <c r="D71" s="5" t="s">
        <v>62</v>
      </c>
      <c r="E71" s="5" t="s">
        <v>227</v>
      </c>
      <c r="F71" s="5" t="s">
        <v>219</v>
      </c>
      <c r="G71" s="10" t="n">
        <v>46074</v>
      </c>
      <c r="H71" s="10" t="n">
        <v>46134</v>
      </c>
      <c r="I71" s="6" t="n">
        <v>482.26</v>
      </c>
      <c r="J71" s="5" t="n">
        <f aca="false">IF(H71="","",MAX(0,Summary!$B$2-H71))</f>
        <v>184</v>
      </c>
      <c r="K71" s="5" t="str">
        <f aca="false">IF(J71="","No due date",IF(J71=0,"Not due",IF(J71&lt;=30,"1-30",IF(J71&lt;=60,"31-60",IF(J71&lt;=90,"61-90","90+")))))</f>
        <v>90+</v>
      </c>
      <c r="L71" s="5" t="s">
        <v>79</v>
      </c>
      <c r="M71" s="10" t="n">
        <v>46318</v>
      </c>
    </row>
    <row r="72" customFormat="false" ht="15" hidden="false" customHeight="false" outlineLevel="0" collapsed="false">
      <c r="A72" s="5" t="s">
        <v>10</v>
      </c>
      <c r="B72" s="5" t="s">
        <v>11</v>
      </c>
      <c r="C72" s="5" t="s">
        <v>228</v>
      </c>
      <c r="D72" s="5" t="s">
        <v>62</v>
      </c>
      <c r="E72" s="5" t="s">
        <v>229</v>
      </c>
      <c r="F72" s="5" t="s">
        <v>120</v>
      </c>
      <c r="G72" s="10" t="n">
        <v>46081</v>
      </c>
      <c r="H72" s="10" t="n">
        <v>46141</v>
      </c>
      <c r="I72" s="6" t="n">
        <v>527.21</v>
      </c>
      <c r="J72" s="5" t="n">
        <f aca="false">IF(H72="","",MAX(0,Summary!$B$2-H72))</f>
        <v>177</v>
      </c>
      <c r="K72" s="5" t="str">
        <f aca="false">IF(J72="","No due date",IF(J72=0,"Not due",IF(J72&lt;=30,"1-30",IF(J72&lt;=60,"31-60",IF(J72&lt;=90,"61-90","90+")))))</f>
        <v>90+</v>
      </c>
      <c r="L72" s="5" t="s">
        <v>79</v>
      </c>
      <c r="M72" s="10" t="n">
        <v>46318</v>
      </c>
    </row>
    <row r="73" customFormat="false" ht="15" hidden="false" customHeight="false" outlineLevel="0" collapsed="false">
      <c r="A73" s="5" t="s">
        <v>10</v>
      </c>
      <c r="B73" s="5" t="s">
        <v>11</v>
      </c>
      <c r="C73" s="5" t="s">
        <v>230</v>
      </c>
      <c r="D73" s="5" t="s">
        <v>62</v>
      </c>
      <c r="E73" s="5" t="s">
        <v>231</v>
      </c>
      <c r="F73" s="5" t="s">
        <v>120</v>
      </c>
      <c r="G73" s="10" t="n">
        <v>46081</v>
      </c>
      <c r="H73" s="10" t="n">
        <v>46141</v>
      </c>
      <c r="I73" s="6" t="n">
        <v>324.45</v>
      </c>
      <c r="J73" s="5" t="n">
        <f aca="false">IF(H73="","",MAX(0,Summary!$B$2-H73))</f>
        <v>177</v>
      </c>
      <c r="K73" s="5" t="str">
        <f aca="false">IF(J73="","No due date",IF(J73=0,"Not due",IF(J73&lt;=30,"1-30",IF(J73&lt;=60,"31-60",IF(J73&lt;=90,"61-90","90+")))))</f>
        <v>90+</v>
      </c>
      <c r="L73" s="5" t="s">
        <v>79</v>
      </c>
      <c r="M73" s="10" t="n">
        <v>46318</v>
      </c>
    </row>
    <row r="74" customFormat="false" ht="15" hidden="false" customHeight="false" outlineLevel="0" collapsed="false">
      <c r="A74" s="5" t="s">
        <v>10</v>
      </c>
      <c r="B74" s="5" t="s">
        <v>11</v>
      </c>
      <c r="C74" s="5" t="s">
        <v>232</v>
      </c>
      <c r="D74" s="5" t="s">
        <v>62</v>
      </c>
      <c r="E74" s="5" t="s">
        <v>233</v>
      </c>
      <c r="F74" s="5" t="s">
        <v>99</v>
      </c>
      <c r="G74" s="10" t="n">
        <v>46104</v>
      </c>
      <c r="H74" s="10" t="n">
        <v>46164</v>
      </c>
      <c r="I74" s="6" t="n">
        <v>63.53</v>
      </c>
      <c r="J74" s="5" t="n">
        <f aca="false">IF(H74="","",MAX(0,Summary!$B$2-H74))</f>
        <v>154</v>
      </c>
      <c r="K74" s="5" t="str">
        <f aca="false">IF(J74="","No due date",IF(J74=0,"Not due",IF(J74&lt;=30,"1-30",IF(J74&lt;=60,"31-60",IF(J74&lt;=90,"61-90","90+")))))</f>
        <v>90+</v>
      </c>
      <c r="L74" s="5" t="s">
        <v>79</v>
      </c>
      <c r="M74" s="10" t="n">
        <v>46318</v>
      </c>
    </row>
    <row r="75" customFormat="false" ht="15" hidden="false" customHeight="false" outlineLevel="0" collapsed="false">
      <c r="A75" s="5" t="s">
        <v>10</v>
      </c>
      <c r="B75" s="5" t="s">
        <v>11</v>
      </c>
      <c r="C75" s="5" t="s">
        <v>234</v>
      </c>
      <c r="D75" s="5" t="s">
        <v>62</v>
      </c>
      <c r="E75" s="5" t="s">
        <v>235</v>
      </c>
      <c r="F75" s="5" t="s">
        <v>82</v>
      </c>
      <c r="G75" s="10" t="n">
        <v>46104</v>
      </c>
      <c r="H75" s="10" t="n">
        <v>46164</v>
      </c>
      <c r="I75" s="6" t="n">
        <v>82.34</v>
      </c>
      <c r="J75" s="5" t="n">
        <f aca="false">IF(H75="","",MAX(0,Summary!$B$2-H75))</f>
        <v>154</v>
      </c>
      <c r="K75" s="5" t="str">
        <f aca="false">IF(J75="","No due date",IF(J75=0,"Not due",IF(J75&lt;=30,"1-30",IF(J75&lt;=60,"31-60",IF(J75&lt;=90,"61-90","90+")))))</f>
        <v>90+</v>
      </c>
      <c r="L75" s="5" t="s">
        <v>79</v>
      </c>
      <c r="M75" s="10" t="n">
        <v>46318</v>
      </c>
    </row>
    <row r="76" customFormat="false" ht="15" hidden="false" customHeight="false" outlineLevel="0" collapsed="false">
      <c r="A76" s="5" t="s">
        <v>10</v>
      </c>
      <c r="B76" s="5" t="s">
        <v>11</v>
      </c>
      <c r="C76" s="5" t="s">
        <v>236</v>
      </c>
      <c r="D76" s="5" t="s">
        <v>62</v>
      </c>
      <c r="E76" s="5" t="s">
        <v>237</v>
      </c>
      <c r="F76" s="5" t="s">
        <v>149</v>
      </c>
      <c r="G76" s="10" t="n">
        <v>46136</v>
      </c>
      <c r="H76" s="10" t="n">
        <v>46196</v>
      </c>
      <c r="I76" s="6" t="n">
        <v>1600.84</v>
      </c>
      <c r="J76" s="5" t="n">
        <f aca="false">IF(H76="","",MAX(0,Summary!$B$2-H76))</f>
        <v>122</v>
      </c>
      <c r="K76" s="5" t="str">
        <f aca="false">IF(J76="","No due date",IF(J76=0,"Not due",IF(J76&lt;=30,"1-30",IF(J76&lt;=60,"31-60",IF(J76&lt;=90,"61-90","90+")))))</f>
        <v>90+</v>
      </c>
      <c r="L76" s="5" t="s">
        <v>79</v>
      </c>
      <c r="M76" s="10" t="n">
        <v>46318</v>
      </c>
    </row>
    <row r="77" customFormat="false" ht="15" hidden="false" customHeight="false" outlineLevel="0" collapsed="false">
      <c r="A77" s="5" t="s">
        <v>10</v>
      </c>
      <c r="B77" s="5" t="s">
        <v>11</v>
      </c>
      <c r="C77" s="5" t="s">
        <v>238</v>
      </c>
      <c r="D77" s="5" t="s">
        <v>62</v>
      </c>
      <c r="E77" s="5" t="s">
        <v>239</v>
      </c>
      <c r="F77" s="5" t="s">
        <v>160</v>
      </c>
      <c r="G77" s="10" t="n">
        <v>46136</v>
      </c>
      <c r="H77" s="10" t="n">
        <v>46196</v>
      </c>
      <c r="I77" s="6" t="n">
        <v>74.97</v>
      </c>
      <c r="J77" s="5" t="n">
        <f aca="false">IF(H77="","",MAX(0,Summary!$B$2-H77))</f>
        <v>122</v>
      </c>
      <c r="K77" s="5" t="str">
        <f aca="false">IF(J77="","No due date",IF(J77=0,"Not due",IF(J77&lt;=30,"1-30",IF(J77&lt;=60,"31-60",IF(J77&lt;=90,"61-90","90+")))))</f>
        <v>90+</v>
      </c>
      <c r="L77" s="5" t="s">
        <v>79</v>
      </c>
      <c r="M77" s="10" t="n">
        <v>46318</v>
      </c>
    </row>
    <row r="78" customFormat="false" ht="15" hidden="false" customHeight="false" outlineLevel="0" collapsed="false">
      <c r="A78" s="5" t="s">
        <v>10</v>
      </c>
      <c r="B78" s="5" t="s">
        <v>11</v>
      </c>
      <c r="C78" s="5" t="s">
        <v>240</v>
      </c>
      <c r="D78" s="5" t="s">
        <v>62</v>
      </c>
      <c r="E78" s="5" t="s">
        <v>241</v>
      </c>
      <c r="F78" s="5" t="s">
        <v>160</v>
      </c>
      <c r="G78" s="10" t="n">
        <v>46136</v>
      </c>
      <c r="H78" s="10" t="n">
        <v>46196</v>
      </c>
      <c r="I78" s="6" t="n">
        <v>1151.71</v>
      </c>
      <c r="J78" s="5" t="n">
        <f aca="false">IF(H78="","",MAX(0,Summary!$B$2-H78))</f>
        <v>122</v>
      </c>
      <c r="K78" s="5" t="str">
        <f aca="false">IF(J78="","No due date",IF(J78=0,"Not due",IF(J78&lt;=30,"1-30",IF(J78&lt;=60,"31-60",IF(J78&lt;=90,"61-90","90+")))))</f>
        <v>90+</v>
      </c>
      <c r="L78" s="5" t="s">
        <v>79</v>
      </c>
      <c r="M78" s="10" t="n">
        <v>46318</v>
      </c>
    </row>
    <row r="79" customFormat="false" ht="15" hidden="false" customHeight="false" outlineLevel="0" collapsed="false">
      <c r="A79" s="5" t="s">
        <v>10</v>
      </c>
      <c r="B79" s="5" t="s">
        <v>11</v>
      </c>
      <c r="C79" s="5" t="s">
        <v>242</v>
      </c>
      <c r="D79" s="5" t="s">
        <v>62</v>
      </c>
      <c r="E79" s="5" t="s">
        <v>243</v>
      </c>
      <c r="F79" s="5" t="s">
        <v>123</v>
      </c>
      <c r="G79" s="10" t="n">
        <v>46136</v>
      </c>
      <c r="H79" s="10" t="n">
        <v>46196</v>
      </c>
      <c r="I79" s="6" t="n">
        <v>74.97</v>
      </c>
      <c r="J79" s="5" t="n">
        <f aca="false">IF(H79="","",MAX(0,Summary!$B$2-H79))</f>
        <v>122</v>
      </c>
      <c r="K79" s="5" t="str">
        <f aca="false">IF(J79="","No due date",IF(J79=0,"Not due",IF(J79&lt;=30,"1-30",IF(J79&lt;=60,"31-60",IF(J79&lt;=90,"61-90","90+")))))</f>
        <v>90+</v>
      </c>
      <c r="L79" s="5" t="s">
        <v>79</v>
      </c>
      <c r="M79" s="10" t="n">
        <v>46318</v>
      </c>
    </row>
    <row r="80" customFormat="false" ht="15" hidden="false" customHeight="false" outlineLevel="0" collapsed="false">
      <c r="A80" s="5" t="s">
        <v>10</v>
      </c>
      <c r="B80" s="5" t="s">
        <v>11</v>
      </c>
      <c r="C80" s="5" t="s">
        <v>244</v>
      </c>
      <c r="D80" s="5" t="s">
        <v>62</v>
      </c>
      <c r="E80" s="5" t="s">
        <v>245</v>
      </c>
      <c r="F80" s="5" t="s">
        <v>120</v>
      </c>
      <c r="G80" s="10" t="n">
        <v>46142</v>
      </c>
      <c r="H80" s="10" t="n">
        <v>46202</v>
      </c>
      <c r="I80" s="6" t="n">
        <v>62.54</v>
      </c>
      <c r="J80" s="5" t="n">
        <f aca="false">IF(H80="","",MAX(0,Summary!$B$2-H80))</f>
        <v>116</v>
      </c>
      <c r="K80" s="5" t="str">
        <f aca="false">IF(J80="","No due date",IF(J80=0,"Not due",IF(J80&lt;=30,"1-30",IF(J80&lt;=60,"31-60",IF(J80&lt;=90,"61-90","90+")))))</f>
        <v>90+</v>
      </c>
      <c r="L80" s="5" t="s">
        <v>79</v>
      </c>
      <c r="M80" s="10" t="n">
        <v>46318</v>
      </c>
    </row>
    <row r="81" customFormat="false" ht="15" hidden="false" customHeight="false" outlineLevel="0" collapsed="false">
      <c r="A81" s="5" t="s">
        <v>10</v>
      </c>
      <c r="B81" s="5" t="s">
        <v>11</v>
      </c>
      <c r="C81" s="5" t="s">
        <v>246</v>
      </c>
      <c r="D81" s="5" t="s">
        <v>62</v>
      </c>
      <c r="E81" s="5" t="s">
        <v>247</v>
      </c>
      <c r="F81" s="5" t="s">
        <v>139</v>
      </c>
      <c r="G81" s="10" t="n">
        <v>46142</v>
      </c>
      <c r="H81" s="10" t="n">
        <v>46202</v>
      </c>
      <c r="I81" s="6" t="n">
        <v>62.54</v>
      </c>
      <c r="J81" s="5" t="n">
        <f aca="false">IF(H81="","",MAX(0,Summary!$B$2-H81))</f>
        <v>116</v>
      </c>
      <c r="K81" s="5" t="str">
        <f aca="false">IF(J81="","No due date",IF(J81=0,"Not due",IF(J81&lt;=30,"1-30",IF(J81&lt;=60,"31-60",IF(J81&lt;=90,"61-90","90+")))))</f>
        <v>90+</v>
      </c>
      <c r="L81" s="5" t="s">
        <v>79</v>
      </c>
      <c r="M81" s="10" t="n">
        <v>46318</v>
      </c>
    </row>
    <row r="82" customFormat="false" ht="15" hidden="false" customHeight="false" outlineLevel="0" collapsed="false">
      <c r="A82" s="5" t="s">
        <v>10</v>
      </c>
      <c r="B82" s="5" t="s">
        <v>11</v>
      </c>
      <c r="C82" s="5" t="s">
        <v>248</v>
      </c>
      <c r="D82" s="5" t="s">
        <v>62</v>
      </c>
      <c r="E82" s="5" t="s">
        <v>249</v>
      </c>
      <c r="F82" s="5" t="s">
        <v>139</v>
      </c>
      <c r="G82" s="10" t="n">
        <v>46142</v>
      </c>
      <c r="H82" s="10" t="n">
        <v>46202</v>
      </c>
      <c r="I82" s="6" t="n">
        <v>487.61</v>
      </c>
      <c r="J82" s="5" t="n">
        <f aca="false">IF(H82="","",MAX(0,Summary!$B$2-H82))</f>
        <v>116</v>
      </c>
      <c r="K82" s="5" t="str">
        <f aca="false">IF(J82="","No due date",IF(J82=0,"Not due",IF(J82&lt;=30,"1-30",IF(J82&lt;=60,"31-60",IF(J82&lt;=90,"61-90","90+")))))</f>
        <v>90+</v>
      </c>
      <c r="L82" s="5" t="s">
        <v>79</v>
      </c>
      <c r="M82" s="10" t="n">
        <v>46318</v>
      </c>
    </row>
    <row r="83" customFormat="false" ht="15" hidden="false" customHeight="false" outlineLevel="0" collapsed="false">
      <c r="A83" s="5" t="s">
        <v>10</v>
      </c>
      <c r="B83" s="5" t="s">
        <v>11</v>
      </c>
      <c r="C83" s="5" t="s">
        <v>250</v>
      </c>
      <c r="D83" s="5" t="s">
        <v>62</v>
      </c>
      <c r="E83" s="5" t="s">
        <v>251</v>
      </c>
      <c r="F83" s="5" t="s">
        <v>133</v>
      </c>
      <c r="G83" s="10" t="n">
        <v>46156</v>
      </c>
      <c r="H83" s="10" t="n">
        <v>46216</v>
      </c>
      <c r="I83" s="6" t="n">
        <v>70.46</v>
      </c>
      <c r="J83" s="5" t="n">
        <f aca="false">IF(H83="","",MAX(0,Summary!$B$2-H83))</f>
        <v>102</v>
      </c>
      <c r="K83" s="5" t="str">
        <f aca="false">IF(J83="","No due date",IF(J83=0,"Not due",IF(J83&lt;=30,"1-30",IF(J83&lt;=60,"31-60",IF(J83&lt;=90,"61-90","90+")))))</f>
        <v>90+</v>
      </c>
      <c r="L83" s="5" t="s">
        <v>79</v>
      </c>
      <c r="M83" s="10" t="n">
        <v>46318</v>
      </c>
    </row>
    <row r="84" customFormat="false" ht="15" hidden="false" customHeight="false" outlineLevel="0" collapsed="false">
      <c r="A84" s="5" t="s">
        <v>10</v>
      </c>
      <c r="B84" s="5" t="s">
        <v>11</v>
      </c>
      <c r="C84" s="5" t="s">
        <v>252</v>
      </c>
      <c r="D84" s="5" t="s">
        <v>62</v>
      </c>
      <c r="E84" s="5" t="s">
        <v>253</v>
      </c>
      <c r="F84" s="5" t="s">
        <v>78</v>
      </c>
      <c r="G84" s="10" t="n">
        <v>46170</v>
      </c>
      <c r="H84" s="10" t="n">
        <v>46230</v>
      </c>
      <c r="I84" s="6" t="n">
        <v>77.24</v>
      </c>
      <c r="J84" s="5" t="n">
        <f aca="false">IF(H84="","",MAX(0,Summary!$B$2-H84))</f>
        <v>88</v>
      </c>
      <c r="K84" s="5" t="str">
        <f aca="false">IF(J84="","No due date",IF(J84=0,"Not due",IF(J84&lt;=30,"1-30",IF(J84&lt;=60,"31-60",IF(J84&lt;=90,"61-90","90+")))))</f>
        <v>61-90</v>
      </c>
      <c r="L84" s="5" t="s">
        <v>79</v>
      </c>
      <c r="M84" s="10" t="n">
        <v>46318</v>
      </c>
    </row>
    <row r="85" customFormat="false" ht="15" hidden="false" customHeight="false" outlineLevel="0" collapsed="false">
      <c r="A85" s="5" t="s">
        <v>10</v>
      </c>
      <c r="B85" s="5" t="s">
        <v>11</v>
      </c>
      <c r="C85" s="5" t="s">
        <v>254</v>
      </c>
      <c r="D85" s="5" t="s">
        <v>62</v>
      </c>
      <c r="E85" s="5" t="s">
        <v>255</v>
      </c>
      <c r="F85" s="5" t="s">
        <v>82</v>
      </c>
      <c r="G85" s="10" t="n">
        <v>46170</v>
      </c>
      <c r="H85" s="10" t="n">
        <v>46230</v>
      </c>
      <c r="I85" s="6" t="n">
        <v>90.26</v>
      </c>
      <c r="J85" s="5" t="n">
        <f aca="false">IF(H85="","",MAX(0,Summary!$B$2-H85))</f>
        <v>88</v>
      </c>
      <c r="K85" s="5" t="str">
        <f aca="false">IF(J85="","No due date",IF(J85=0,"Not due",IF(J85&lt;=30,"1-30",IF(J85&lt;=60,"31-60",IF(J85&lt;=90,"61-90","90+")))))</f>
        <v>61-90</v>
      </c>
      <c r="L85" s="5" t="s">
        <v>79</v>
      </c>
      <c r="M85" s="10" t="n">
        <v>46318</v>
      </c>
    </row>
    <row r="86" customFormat="false" ht="15" hidden="false" customHeight="false" outlineLevel="0" collapsed="false">
      <c r="A86" s="5" t="s">
        <v>10</v>
      </c>
      <c r="B86" s="5" t="s">
        <v>11</v>
      </c>
      <c r="C86" s="5" t="s">
        <v>256</v>
      </c>
      <c r="D86" s="5" t="s">
        <v>62</v>
      </c>
      <c r="E86" s="5" t="s">
        <v>257</v>
      </c>
      <c r="F86" s="5" t="s">
        <v>133</v>
      </c>
      <c r="G86" s="10" t="n">
        <v>46170</v>
      </c>
      <c r="H86" s="10" t="n">
        <v>46230</v>
      </c>
      <c r="I86" s="6" t="n">
        <v>158.76</v>
      </c>
      <c r="J86" s="5" t="n">
        <f aca="false">IF(H86="","",MAX(0,Summary!$B$2-H86))</f>
        <v>88</v>
      </c>
      <c r="K86" s="5" t="str">
        <f aca="false">IF(J86="","No due date",IF(J86=0,"Not due",IF(J86&lt;=30,"1-30",IF(J86&lt;=60,"31-60",IF(J86&lt;=90,"61-90","90+")))))</f>
        <v>61-90</v>
      </c>
      <c r="L86" s="5" t="s">
        <v>79</v>
      </c>
      <c r="M86" s="10" t="n">
        <v>46318</v>
      </c>
    </row>
    <row r="87" customFormat="false" ht="15" hidden="false" customHeight="false" outlineLevel="0" collapsed="false">
      <c r="A87" s="5" t="s">
        <v>10</v>
      </c>
      <c r="B87" s="5" t="s">
        <v>11</v>
      </c>
      <c r="C87" s="5" t="s">
        <v>258</v>
      </c>
      <c r="D87" s="5" t="s">
        <v>62</v>
      </c>
      <c r="E87" s="5" t="s">
        <v>259</v>
      </c>
      <c r="F87" s="5" t="s">
        <v>260</v>
      </c>
      <c r="G87" s="10" t="n">
        <v>46170</v>
      </c>
      <c r="H87" s="10" t="n">
        <v>46230</v>
      </c>
      <c r="I87" s="6" t="n">
        <v>74.97</v>
      </c>
      <c r="J87" s="5" t="n">
        <f aca="false">IF(H87="","",MAX(0,Summary!$B$2-H87))</f>
        <v>88</v>
      </c>
      <c r="K87" s="5" t="str">
        <f aca="false">IF(J87="","No due date",IF(J87=0,"Not due",IF(J87&lt;=30,"1-30",IF(J87&lt;=60,"31-60",IF(J87&lt;=90,"61-90","90+")))))</f>
        <v>61-90</v>
      </c>
      <c r="L87" s="5" t="s">
        <v>79</v>
      </c>
      <c r="M87" s="10" t="n">
        <v>46318</v>
      </c>
    </row>
    <row r="88" customFormat="false" ht="15" hidden="false" customHeight="false" outlineLevel="0" collapsed="false">
      <c r="A88" s="5" t="s">
        <v>10</v>
      </c>
      <c r="B88" s="5" t="s">
        <v>11</v>
      </c>
      <c r="C88" s="5" t="s">
        <v>261</v>
      </c>
      <c r="D88" s="5" t="s">
        <v>62</v>
      </c>
      <c r="E88" s="5" t="s">
        <v>262</v>
      </c>
      <c r="F88" s="5" t="s">
        <v>263</v>
      </c>
      <c r="G88" s="10" t="n">
        <v>46170</v>
      </c>
      <c r="H88" s="10" t="n">
        <v>46230</v>
      </c>
      <c r="I88" s="6" t="n">
        <v>93.72</v>
      </c>
      <c r="J88" s="5" t="n">
        <f aca="false">IF(H88="","",MAX(0,Summary!$B$2-H88))</f>
        <v>88</v>
      </c>
      <c r="K88" s="5" t="str">
        <f aca="false">IF(J88="","No due date",IF(J88=0,"Not due",IF(J88&lt;=30,"1-30",IF(J88&lt;=60,"31-60",IF(J88&lt;=90,"61-90","90+")))))</f>
        <v>61-90</v>
      </c>
      <c r="L88" s="5" t="s">
        <v>79</v>
      </c>
      <c r="M88" s="10" t="n">
        <v>46318</v>
      </c>
    </row>
    <row r="89" customFormat="false" ht="15" hidden="false" customHeight="false" outlineLevel="0" collapsed="false">
      <c r="A89" s="5" t="s">
        <v>10</v>
      </c>
      <c r="B89" s="5" t="s">
        <v>11</v>
      </c>
      <c r="C89" s="5" t="s">
        <v>264</v>
      </c>
      <c r="D89" s="5" t="s">
        <v>62</v>
      </c>
      <c r="E89" s="5" t="s">
        <v>265</v>
      </c>
      <c r="F89" s="5" t="s">
        <v>133</v>
      </c>
      <c r="G89" s="10" t="n">
        <v>46171</v>
      </c>
      <c r="H89" s="10" t="n">
        <v>46231</v>
      </c>
      <c r="I89" s="6" t="n">
        <v>82.5</v>
      </c>
      <c r="J89" s="5" t="n">
        <f aca="false">IF(H89="","",MAX(0,Summary!$B$2-H89))</f>
        <v>87</v>
      </c>
      <c r="K89" s="5" t="str">
        <f aca="false">IF(J89="","No due date",IF(J89=0,"Not due",IF(J89&lt;=30,"1-30",IF(J89&lt;=60,"31-60",IF(J89&lt;=90,"61-90","90+")))))</f>
        <v>61-90</v>
      </c>
      <c r="L89" s="5" t="s">
        <v>79</v>
      </c>
      <c r="M89" s="10" t="n">
        <v>46318</v>
      </c>
    </row>
    <row r="90" customFormat="false" ht="15" hidden="false" customHeight="false" outlineLevel="0" collapsed="false">
      <c r="A90" s="5" t="s">
        <v>10</v>
      </c>
      <c r="B90" s="5" t="s">
        <v>11</v>
      </c>
      <c r="C90" s="5" t="s">
        <v>266</v>
      </c>
      <c r="D90" s="5" t="s">
        <v>62</v>
      </c>
      <c r="E90" s="5" t="s">
        <v>267</v>
      </c>
      <c r="F90" s="5" t="s">
        <v>268</v>
      </c>
      <c r="G90" s="10" t="n">
        <v>46171</v>
      </c>
      <c r="H90" s="10" t="n">
        <v>46231</v>
      </c>
      <c r="I90" s="6" t="n">
        <v>62.7</v>
      </c>
      <c r="J90" s="5" t="n">
        <f aca="false">IF(H90="","",MAX(0,Summary!$B$2-H90))</f>
        <v>87</v>
      </c>
      <c r="K90" s="5" t="str">
        <f aca="false">IF(J90="","No due date",IF(J90=0,"Not due",IF(J90&lt;=30,"1-30",IF(J90&lt;=60,"31-60",IF(J90&lt;=90,"61-90","90+")))))</f>
        <v>61-90</v>
      </c>
      <c r="L90" s="5" t="s">
        <v>79</v>
      </c>
      <c r="M90" s="10" t="n">
        <v>46318</v>
      </c>
    </row>
    <row r="91" customFormat="false" ht="15" hidden="false" customHeight="false" outlineLevel="0" collapsed="false">
      <c r="A91" s="5" t="s">
        <v>10</v>
      </c>
      <c r="B91" s="5" t="s">
        <v>11</v>
      </c>
      <c r="C91" s="5" t="s">
        <v>269</v>
      </c>
      <c r="D91" s="5" t="s">
        <v>62</v>
      </c>
      <c r="E91" s="5" t="s">
        <v>270</v>
      </c>
      <c r="F91" s="5" t="s">
        <v>123</v>
      </c>
      <c r="G91" s="10" t="n">
        <v>46171</v>
      </c>
      <c r="H91" s="10" t="n">
        <v>46231</v>
      </c>
      <c r="I91" s="6" t="n">
        <v>75.7</v>
      </c>
      <c r="J91" s="5" t="n">
        <f aca="false">IF(H91="","",MAX(0,Summary!$B$2-H91))</f>
        <v>87</v>
      </c>
      <c r="K91" s="5" t="str">
        <f aca="false">IF(J91="","No due date",IF(J91=0,"Not due",IF(J91&lt;=30,"1-30",IF(J91&lt;=60,"31-60",IF(J91&lt;=90,"61-90","90+")))))</f>
        <v>61-90</v>
      </c>
      <c r="L91" s="5" t="s">
        <v>79</v>
      </c>
      <c r="M91" s="10" t="n">
        <v>46318</v>
      </c>
    </row>
    <row r="92" customFormat="false" ht="15" hidden="false" customHeight="false" outlineLevel="0" collapsed="false">
      <c r="A92" s="5" t="s">
        <v>10</v>
      </c>
      <c r="B92" s="5" t="s">
        <v>11</v>
      </c>
      <c r="C92" s="5" t="s">
        <v>271</v>
      </c>
      <c r="D92" s="5" t="s">
        <v>62</v>
      </c>
      <c r="E92" s="5" t="s">
        <v>272</v>
      </c>
      <c r="F92" s="5" t="s">
        <v>120</v>
      </c>
      <c r="G92" s="10" t="n">
        <v>46186</v>
      </c>
      <c r="H92" s="10" t="n">
        <v>46246</v>
      </c>
      <c r="I92" s="6" t="n">
        <v>303.6</v>
      </c>
      <c r="J92" s="5" t="n">
        <f aca="false">IF(H92="","",MAX(0,Summary!$B$2-H92))</f>
        <v>72</v>
      </c>
      <c r="K92" s="5" t="str">
        <f aca="false">IF(J92="","No due date",IF(J92=0,"Not due",IF(J92&lt;=30,"1-30",IF(J92&lt;=60,"31-60",IF(J92&lt;=90,"61-90","90+")))))</f>
        <v>61-90</v>
      </c>
      <c r="L92" s="5" t="s">
        <v>79</v>
      </c>
      <c r="M92" s="10" t="n">
        <v>46318</v>
      </c>
    </row>
    <row r="93" customFormat="false" ht="15" hidden="false" customHeight="false" outlineLevel="0" collapsed="false">
      <c r="A93" s="5" t="s">
        <v>10</v>
      </c>
      <c r="B93" s="5" t="s">
        <v>11</v>
      </c>
      <c r="C93" s="5" t="s">
        <v>273</v>
      </c>
      <c r="D93" s="5" t="s">
        <v>62</v>
      </c>
      <c r="E93" s="5" t="s">
        <v>274</v>
      </c>
      <c r="F93" s="5" t="s">
        <v>133</v>
      </c>
      <c r="G93" s="10" t="n">
        <v>46186</v>
      </c>
      <c r="H93" s="10" t="n">
        <v>46246</v>
      </c>
      <c r="I93" s="6" t="n">
        <v>62.7</v>
      </c>
      <c r="J93" s="5" t="n">
        <f aca="false">IF(H93="","",MAX(0,Summary!$B$2-H93))</f>
        <v>72</v>
      </c>
      <c r="K93" s="5" t="str">
        <f aca="false">IF(J93="","No due date",IF(J93=0,"Not due",IF(J93&lt;=30,"1-30",IF(J93&lt;=60,"31-60",IF(J93&lt;=90,"61-90","90+")))))</f>
        <v>61-90</v>
      </c>
      <c r="L93" s="5" t="s">
        <v>79</v>
      </c>
      <c r="M93" s="10" t="n">
        <v>46318</v>
      </c>
    </row>
    <row r="94" customFormat="false" ht="15" hidden="false" customHeight="false" outlineLevel="0" collapsed="false">
      <c r="A94" s="5" t="s">
        <v>10</v>
      </c>
      <c r="B94" s="5" t="s">
        <v>11</v>
      </c>
      <c r="C94" s="5" t="s">
        <v>275</v>
      </c>
      <c r="D94" s="5" t="s">
        <v>62</v>
      </c>
      <c r="E94" s="5" t="s">
        <v>276</v>
      </c>
      <c r="F94" s="5" t="s">
        <v>160</v>
      </c>
      <c r="G94" s="10" t="n">
        <v>46186</v>
      </c>
      <c r="H94" s="10" t="n">
        <v>46246</v>
      </c>
      <c r="I94" s="6" t="n">
        <v>75.7</v>
      </c>
      <c r="J94" s="5" t="n">
        <f aca="false">IF(H94="","",MAX(0,Summary!$B$2-H94))</f>
        <v>72</v>
      </c>
      <c r="K94" s="5" t="str">
        <f aca="false">IF(J94="","No due date",IF(J94=0,"Not due",IF(J94&lt;=30,"1-30",IF(J94&lt;=60,"31-60",IF(J94&lt;=90,"61-90","90+")))))</f>
        <v>61-90</v>
      </c>
      <c r="L94" s="5" t="s">
        <v>79</v>
      </c>
      <c r="M94" s="10" t="n">
        <v>46318</v>
      </c>
    </row>
    <row r="95" customFormat="false" ht="15" hidden="false" customHeight="false" outlineLevel="0" collapsed="false">
      <c r="A95" s="5" t="s">
        <v>10</v>
      </c>
      <c r="B95" s="5" t="s">
        <v>11</v>
      </c>
      <c r="C95" s="5" t="s">
        <v>277</v>
      </c>
      <c r="D95" s="5" t="s">
        <v>62</v>
      </c>
      <c r="E95" s="5" t="s">
        <v>278</v>
      </c>
      <c r="F95" s="5" t="s">
        <v>123</v>
      </c>
      <c r="G95" s="10" t="n">
        <v>46186</v>
      </c>
      <c r="H95" s="10" t="n">
        <v>46246</v>
      </c>
      <c r="I95" s="6" t="n">
        <v>401.03</v>
      </c>
      <c r="J95" s="5" t="n">
        <f aca="false">IF(H95="","",MAX(0,Summary!$B$2-H95))</f>
        <v>72</v>
      </c>
      <c r="K95" s="5" t="str">
        <f aca="false">IF(J95="","No due date",IF(J95=0,"Not due",IF(J95&lt;=30,"1-30",IF(J95&lt;=60,"31-60",IF(J95&lt;=90,"61-90","90+")))))</f>
        <v>61-90</v>
      </c>
      <c r="L95" s="5" t="s">
        <v>79</v>
      </c>
      <c r="M95" s="10" t="n">
        <v>46318</v>
      </c>
    </row>
    <row r="96" customFormat="false" ht="15" hidden="false" customHeight="false" outlineLevel="0" collapsed="false">
      <c r="A96" s="5" t="s">
        <v>10</v>
      </c>
      <c r="B96" s="5" t="s">
        <v>11</v>
      </c>
      <c r="C96" s="5" t="s">
        <v>279</v>
      </c>
      <c r="D96" s="5" t="s">
        <v>62</v>
      </c>
      <c r="E96" s="5" t="s">
        <v>280</v>
      </c>
      <c r="F96" s="5" t="s">
        <v>82</v>
      </c>
      <c r="G96" s="10" t="n">
        <v>46186</v>
      </c>
      <c r="H96" s="10" t="n">
        <v>46246</v>
      </c>
      <c r="I96" s="6" t="n">
        <v>143.76</v>
      </c>
      <c r="J96" s="5" t="n">
        <f aca="false">IF(H96="","",MAX(0,Summary!$B$2-H96))</f>
        <v>72</v>
      </c>
      <c r="K96" s="5" t="str">
        <f aca="false">IF(J96="","No due date",IF(J96=0,"Not due",IF(J96&lt;=30,"1-30",IF(J96&lt;=60,"31-60",IF(J96&lt;=90,"61-90","90+")))))</f>
        <v>61-90</v>
      </c>
      <c r="L96" s="5" t="s">
        <v>79</v>
      </c>
      <c r="M96" s="10" t="n">
        <v>46318</v>
      </c>
    </row>
    <row r="97" customFormat="false" ht="15" hidden="false" customHeight="false" outlineLevel="0" collapsed="false">
      <c r="A97" s="5" t="s">
        <v>10</v>
      </c>
      <c r="B97" s="5" t="s">
        <v>11</v>
      </c>
      <c r="C97" s="5" t="s">
        <v>281</v>
      </c>
      <c r="D97" s="5" t="s">
        <v>62</v>
      </c>
      <c r="E97" s="5" t="s">
        <v>282</v>
      </c>
      <c r="F97" s="5" t="s">
        <v>133</v>
      </c>
      <c r="G97" s="10" t="n">
        <v>46186</v>
      </c>
      <c r="H97" s="10" t="n">
        <v>46246</v>
      </c>
      <c r="I97" s="6" t="n">
        <v>1340.69</v>
      </c>
      <c r="J97" s="5" t="n">
        <f aca="false">IF(H97="","",MAX(0,Summary!$B$2-H97))</f>
        <v>72</v>
      </c>
      <c r="K97" s="5" t="str">
        <f aca="false">IF(J97="","No due date",IF(J97=0,"Not due",IF(J97&lt;=30,"1-30",IF(J97&lt;=60,"31-60",IF(J97&lt;=90,"61-90","90+")))))</f>
        <v>61-90</v>
      </c>
      <c r="L97" s="5" t="s">
        <v>79</v>
      </c>
      <c r="M97" s="10" t="n">
        <v>46318</v>
      </c>
    </row>
    <row r="98" customFormat="false" ht="15" hidden="false" customHeight="false" outlineLevel="0" collapsed="false">
      <c r="A98" s="5" t="s">
        <v>10</v>
      </c>
      <c r="B98" s="5" t="s">
        <v>11</v>
      </c>
      <c r="C98" s="5" t="s">
        <v>283</v>
      </c>
      <c r="D98" s="5" t="s">
        <v>62</v>
      </c>
      <c r="E98" s="5" t="s">
        <v>284</v>
      </c>
      <c r="F98" s="5" t="s">
        <v>99</v>
      </c>
      <c r="G98" s="10" t="n">
        <v>46186</v>
      </c>
      <c r="H98" s="10" t="n">
        <v>46246</v>
      </c>
      <c r="I98" s="6" t="n">
        <v>82.5</v>
      </c>
      <c r="J98" s="5" t="n">
        <f aca="false">IF(H98="","",MAX(0,Summary!$B$2-H98))</f>
        <v>72</v>
      </c>
      <c r="K98" s="5" t="str">
        <f aca="false">IF(J98="","No due date",IF(J98=0,"Not due",IF(J98&lt;=30,"1-30",IF(J98&lt;=60,"31-60",IF(J98&lt;=90,"61-90","90+")))))</f>
        <v>61-90</v>
      </c>
      <c r="L98" s="5" t="s">
        <v>79</v>
      </c>
      <c r="M98" s="10" t="n">
        <v>46318</v>
      </c>
    </row>
    <row r="99" customFormat="false" ht="15" hidden="false" customHeight="false" outlineLevel="0" collapsed="false">
      <c r="A99" s="5" t="s">
        <v>10</v>
      </c>
      <c r="B99" s="5" t="s">
        <v>11</v>
      </c>
      <c r="C99" s="5" t="s">
        <v>285</v>
      </c>
      <c r="D99" s="5" t="s">
        <v>62</v>
      </c>
      <c r="E99" s="5" t="s">
        <v>286</v>
      </c>
      <c r="F99" s="5" t="s">
        <v>139</v>
      </c>
      <c r="G99" s="10" t="n">
        <v>46191</v>
      </c>
      <c r="H99" s="10" t="n">
        <v>46251</v>
      </c>
      <c r="I99" s="6" t="n">
        <v>90.42</v>
      </c>
      <c r="J99" s="5" t="n">
        <f aca="false">IF(H99="","",MAX(0,Summary!$B$2-H99))</f>
        <v>67</v>
      </c>
      <c r="K99" s="5" t="str">
        <f aca="false">IF(J99="","No due date",IF(J99=0,"Not due",IF(J99&lt;=30,"1-30",IF(J99&lt;=60,"31-60",IF(J99&lt;=90,"61-90","90+")))))</f>
        <v>61-90</v>
      </c>
      <c r="L99" s="5" t="s">
        <v>79</v>
      </c>
      <c r="M99" s="10" t="n">
        <v>46318</v>
      </c>
    </row>
    <row r="100" customFormat="false" ht="15" hidden="false" customHeight="false" outlineLevel="0" collapsed="false">
      <c r="A100" s="5" t="s">
        <v>10</v>
      </c>
      <c r="B100" s="5" t="s">
        <v>11</v>
      </c>
      <c r="C100" s="5" t="s">
        <v>287</v>
      </c>
      <c r="D100" s="5" t="s">
        <v>62</v>
      </c>
      <c r="E100" s="5" t="s">
        <v>288</v>
      </c>
      <c r="F100" s="5" t="s">
        <v>123</v>
      </c>
      <c r="G100" s="10" t="n">
        <v>46192</v>
      </c>
      <c r="H100" s="10" t="n">
        <v>46252</v>
      </c>
      <c r="I100" s="6" t="n">
        <v>116.34</v>
      </c>
      <c r="J100" s="5" t="n">
        <f aca="false">IF(H100="","",MAX(0,Summary!$B$2-H100))</f>
        <v>66</v>
      </c>
      <c r="K100" s="5" t="str">
        <f aca="false">IF(J100="","No due date",IF(J100=0,"Not due",IF(J100&lt;=30,"1-30",IF(J100&lt;=60,"31-60",IF(J100&lt;=90,"61-90","90+")))))</f>
        <v>61-90</v>
      </c>
      <c r="L100" s="5" t="s">
        <v>79</v>
      </c>
      <c r="M100" s="10" t="n">
        <v>46318</v>
      </c>
    </row>
    <row r="101" customFormat="false" ht="15" hidden="false" customHeight="false" outlineLevel="0" collapsed="false">
      <c r="A101" s="5" t="s">
        <v>10</v>
      </c>
      <c r="B101" s="5" t="s">
        <v>11</v>
      </c>
      <c r="C101" s="5" t="s">
        <v>289</v>
      </c>
      <c r="D101" s="5" t="s">
        <v>62</v>
      </c>
      <c r="E101" s="5" t="s">
        <v>290</v>
      </c>
      <c r="F101" s="5" t="s">
        <v>78</v>
      </c>
      <c r="G101" s="10" t="n">
        <v>46192</v>
      </c>
      <c r="H101" s="10" t="n">
        <v>46252</v>
      </c>
      <c r="I101" s="6" t="n">
        <v>410.4</v>
      </c>
      <c r="J101" s="5" t="n">
        <f aca="false">IF(H101="","",MAX(0,Summary!$B$2-H101))</f>
        <v>66</v>
      </c>
      <c r="K101" s="5" t="str">
        <f aca="false">IF(J101="","No due date",IF(J101=0,"Not due",IF(J101&lt;=30,"1-30",IF(J101&lt;=60,"31-60",IF(J101&lt;=90,"61-90","90+")))))</f>
        <v>61-90</v>
      </c>
      <c r="L101" s="5" t="s">
        <v>79</v>
      </c>
      <c r="M101" s="10" t="n">
        <v>46318</v>
      </c>
    </row>
    <row r="102" customFormat="false" ht="15" hidden="false" customHeight="false" outlineLevel="0" collapsed="false">
      <c r="A102" s="5" t="s">
        <v>10</v>
      </c>
      <c r="B102" s="5" t="s">
        <v>11</v>
      </c>
      <c r="C102" s="5" t="s">
        <v>291</v>
      </c>
      <c r="D102" s="5" t="s">
        <v>62</v>
      </c>
      <c r="E102" s="5" t="s">
        <v>292</v>
      </c>
      <c r="F102" s="5" t="s">
        <v>82</v>
      </c>
      <c r="G102" s="10" t="n">
        <v>46192</v>
      </c>
      <c r="H102" s="10" t="n">
        <v>46252</v>
      </c>
      <c r="I102" s="6" t="n">
        <v>75.7</v>
      </c>
      <c r="J102" s="5" t="n">
        <f aca="false">IF(H102="","",MAX(0,Summary!$B$2-H102))</f>
        <v>66</v>
      </c>
      <c r="K102" s="5" t="str">
        <f aca="false">IF(J102="","No due date",IF(J102=0,"Not due",IF(J102&lt;=30,"1-30",IF(J102&lt;=60,"31-60",IF(J102&lt;=90,"61-90","90+")))))</f>
        <v>61-90</v>
      </c>
      <c r="L102" s="5" t="s">
        <v>79</v>
      </c>
      <c r="M102" s="10" t="n">
        <v>46318</v>
      </c>
    </row>
    <row r="103" customFormat="false" ht="15" hidden="false" customHeight="false" outlineLevel="0" collapsed="false">
      <c r="A103" s="5" t="s">
        <v>10</v>
      </c>
      <c r="B103" s="5" t="s">
        <v>11</v>
      </c>
      <c r="C103" s="5" t="s">
        <v>293</v>
      </c>
      <c r="D103" s="5" t="s">
        <v>62</v>
      </c>
      <c r="E103" s="5" t="s">
        <v>294</v>
      </c>
      <c r="F103" s="5" t="s">
        <v>123</v>
      </c>
      <c r="G103" s="10" t="n">
        <v>46196</v>
      </c>
      <c r="H103" s="10" t="n">
        <v>46256</v>
      </c>
      <c r="I103" s="6" t="n">
        <v>195.72</v>
      </c>
      <c r="J103" s="5" t="n">
        <f aca="false">IF(H103="","",MAX(0,Summary!$B$2-H103))</f>
        <v>62</v>
      </c>
      <c r="K103" s="5" t="str">
        <f aca="false">IF(J103="","No due date",IF(J103=0,"Not due",IF(J103&lt;=30,"1-30",IF(J103&lt;=60,"31-60",IF(J103&lt;=90,"61-90","90+")))))</f>
        <v>61-90</v>
      </c>
      <c r="L103" s="5" t="s">
        <v>79</v>
      </c>
      <c r="M103" s="10" t="n">
        <v>46318</v>
      </c>
    </row>
    <row r="104" customFormat="false" ht="15" hidden="false" customHeight="false" outlineLevel="0" collapsed="false">
      <c r="A104" s="5" t="s">
        <v>10</v>
      </c>
      <c r="B104" s="5" t="s">
        <v>11</v>
      </c>
      <c r="C104" s="5" t="s">
        <v>295</v>
      </c>
      <c r="D104" s="5" t="s">
        <v>62</v>
      </c>
      <c r="E104" s="5" t="s">
        <v>296</v>
      </c>
      <c r="F104" s="5" t="s">
        <v>78</v>
      </c>
      <c r="G104" s="10" t="n">
        <v>46202</v>
      </c>
      <c r="H104" s="10" t="n">
        <v>46262</v>
      </c>
      <c r="I104" s="6" t="n">
        <v>83.62</v>
      </c>
      <c r="J104" s="5" t="n">
        <f aca="false">IF(H104="","",MAX(0,Summary!$B$2-H104))</f>
        <v>56</v>
      </c>
      <c r="K104" s="5" t="str">
        <f aca="false">IF(J104="","No due date",IF(J104=0,"Not due",IF(J104&lt;=30,"1-30",IF(J104&lt;=60,"31-60",IF(J104&lt;=90,"61-90","90+")))))</f>
        <v>31-60</v>
      </c>
      <c r="L104" s="5" t="s">
        <v>79</v>
      </c>
      <c r="M104" s="10" t="n">
        <v>46318</v>
      </c>
    </row>
    <row r="105" customFormat="false" ht="15" hidden="false" customHeight="false" outlineLevel="0" collapsed="false">
      <c r="A105" s="5" t="s">
        <v>10</v>
      </c>
      <c r="B105" s="5" t="s">
        <v>11</v>
      </c>
      <c r="C105" s="5" t="s">
        <v>297</v>
      </c>
      <c r="D105" s="5" t="s">
        <v>62</v>
      </c>
      <c r="E105" s="5" t="s">
        <v>298</v>
      </c>
      <c r="F105" s="5" t="s">
        <v>133</v>
      </c>
      <c r="G105" s="10" t="n">
        <v>46202</v>
      </c>
      <c r="H105" s="10" t="n">
        <v>46262</v>
      </c>
      <c r="I105" s="6" t="n">
        <v>319.11</v>
      </c>
      <c r="J105" s="5" t="n">
        <f aca="false">IF(H105="","",MAX(0,Summary!$B$2-H105))</f>
        <v>56</v>
      </c>
      <c r="K105" s="5" t="str">
        <f aca="false">IF(J105="","No due date",IF(J105=0,"Not due",IF(J105&lt;=30,"1-30",IF(J105&lt;=60,"31-60",IF(J105&lt;=90,"61-90","90+")))))</f>
        <v>31-60</v>
      </c>
      <c r="L105" s="5" t="s">
        <v>79</v>
      </c>
      <c r="M105" s="10" t="n">
        <v>46318</v>
      </c>
    </row>
    <row r="106" customFormat="false" ht="15" hidden="false" customHeight="false" outlineLevel="0" collapsed="false">
      <c r="A106" s="5" t="s">
        <v>10</v>
      </c>
      <c r="B106" s="5" t="s">
        <v>11</v>
      </c>
      <c r="C106" s="5" t="s">
        <v>299</v>
      </c>
      <c r="D106" s="5" t="s">
        <v>62</v>
      </c>
      <c r="E106" s="5" t="s">
        <v>300</v>
      </c>
      <c r="F106" s="5" t="s">
        <v>104</v>
      </c>
      <c r="G106" s="10" t="n">
        <v>46202</v>
      </c>
      <c r="H106" s="10" t="n">
        <v>46262</v>
      </c>
      <c r="I106" s="6" t="n">
        <v>113.37</v>
      </c>
      <c r="J106" s="5" t="n">
        <f aca="false">IF(H106="","",MAX(0,Summary!$B$2-H106))</f>
        <v>56</v>
      </c>
      <c r="K106" s="5" t="str">
        <f aca="false">IF(J106="","No due date",IF(J106=0,"Not due",IF(J106&lt;=30,"1-30",IF(J106&lt;=60,"31-60",IF(J106&lt;=90,"61-90","90+")))))</f>
        <v>31-60</v>
      </c>
      <c r="L106" s="5" t="s">
        <v>79</v>
      </c>
      <c r="M106" s="10" t="n">
        <v>46318</v>
      </c>
    </row>
    <row r="107" customFormat="false" ht="15" hidden="false" customHeight="false" outlineLevel="0" collapsed="false">
      <c r="A107" s="5" t="s">
        <v>10</v>
      </c>
      <c r="B107" s="5" t="s">
        <v>11</v>
      </c>
      <c r="C107" s="5" t="s">
        <v>301</v>
      </c>
      <c r="D107" s="5" t="s">
        <v>62</v>
      </c>
      <c r="E107" s="5" t="s">
        <v>302</v>
      </c>
      <c r="F107" s="5" t="s">
        <v>303</v>
      </c>
      <c r="G107" s="10" t="n">
        <v>46203</v>
      </c>
      <c r="H107" s="10" t="n">
        <v>46263</v>
      </c>
      <c r="I107" s="6" t="n">
        <v>432.42</v>
      </c>
      <c r="J107" s="5" t="n">
        <f aca="false">IF(H107="","",MAX(0,Summary!$B$2-H107))</f>
        <v>55</v>
      </c>
      <c r="K107" s="5" t="str">
        <f aca="false">IF(J107="","No due date",IF(J107=0,"Not due",IF(J107&lt;=30,"1-30",IF(J107&lt;=60,"31-60",IF(J107&lt;=90,"61-90","90+")))))</f>
        <v>31-60</v>
      </c>
      <c r="L107" s="5" t="s">
        <v>79</v>
      </c>
      <c r="M107" s="10" t="n">
        <v>46318</v>
      </c>
    </row>
    <row r="108" customFormat="false" ht="15" hidden="false" customHeight="false" outlineLevel="0" collapsed="false">
      <c r="A108" s="5" t="s">
        <v>10</v>
      </c>
      <c r="B108" s="5" t="s">
        <v>11</v>
      </c>
      <c r="C108" s="5" t="s">
        <v>304</v>
      </c>
      <c r="D108" s="5" t="s">
        <v>62</v>
      </c>
      <c r="E108" s="5" t="s">
        <v>305</v>
      </c>
      <c r="F108" s="5" t="s">
        <v>263</v>
      </c>
      <c r="G108" s="10" t="n">
        <v>46203</v>
      </c>
      <c r="H108" s="10" t="n">
        <v>46263</v>
      </c>
      <c r="I108" s="6" t="n">
        <v>228.8</v>
      </c>
      <c r="J108" s="5" t="n">
        <f aca="false">IF(H108="","",MAX(0,Summary!$B$2-H108))</f>
        <v>55</v>
      </c>
      <c r="K108" s="5" t="str">
        <f aca="false">IF(J108="","No due date",IF(J108=0,"Not due",IF(J108&lt;=30,"1-30",IF(J108&lt;=60,"31-60",IF(J108&lt;=90,"61-90","90+")))))</f>
        <v>31-60</v>
      </c>
      <c r="L108" s="5" t="s">
        <v>79</v>
      </c>
      <c r="M108" s="10" t="n">
        <v>46318</v>
      </c>
    </row>
    <row r="109" customFormat="false" ht="15" hidden="false" customHeight="false" outlineLevel="0" collapsed="false">
      <c r="A109" s="5" t="s">
        <v>10</v>
      </c>
      <c r="B109" s="5" t="s">
        <v>11</v>
      </c>
      <c r="C109" s="5" t="s">
        <v>306</v>
      </c>
      <c r="D109" s="5" t="s">
        <v>62</v>
      </c>
      <c r="E109" s="5" t="s">
        <v>307</v>
      </c>
      <c r="F109" s="5" t="s">
        <v>139</v>
      </c>
      <c r="G109" s="10" t="n">
        <v>46203</v>
      </c>
      <c r="H109" s="10" t="n">
        <v>46263</v>
      </c>
      <c r="I109" s="6" t="n">
        <v>1580.49</v>
      </c>
      <c r="J109" s="5" t="n">
        <f aca="false">IF(H109="","",MAX(0,Summary!$B$2-H109))</f>
        <v>55</v>
      </c>
      <c r="K109" s="5" t="str">
        <f aca="false">IF(J109="","No due date",IF(J109=0,"Not due",IF(J109&lt;=30,"1-30",IF(J109&lt;=60,"31-60",IF(J109&lt;=90,"61-90","90+")))))</f>
        <v>31-60</v>
      </c>
      <c r="L109" s="5" t="s">
        <v>79</v>
      </c>
      <c r="M109" s="10" t="n">
        <v>46318</v>
      </c>
    </row>
    <row r="110" customFormat="false" ht="15" hidden="false" customHeight="false" outlineLevel="0" collapsed="false">
      <c r="A110" s="5" t="s">
        <v>10</v>
      </c>
      <c r="B110" s="5" t="s">
        <v>11</v>
      </c>
      <c r="C110" s="5" t="s">
        <v>308</v>
      </c>
      <c r="D110" s="5" t="s">
        <v>62</v>
      </c>
      <c r="E110" s="5" t="s">
        <v>309</v>
      </c>
      <c r="F110" s="5" t="s">
        <v>104</v>
      </c>
      <c r="G110" s="10" t="n">
        <v>46205</v>
      </c>
      <c r="H110" s="10" t="n">
        <v>46265</v>
      </c>
      <c r="I110" s="6" t="n">
        <v>622.47</v>
      </c>
      <c r="J110" s="5" t="n">
        <f aca="false">IF(H110="","",MAX(0,Summary!$B$2-H110))</f>
        <v>53</v>
      </c>
      <c r="K110" s="5" t="str">
        <f aca="false">IF(J110="","No due date",IF(J110=0,"Not due",IF(J110&lt;=30,"1-30",IF(J110&lt;=60,"31-60",IF(J110&lt;=90,"61-90","90+")))))</f>
        <v>31-60</v>
      </c>
      <c r="L110" s="5" t="s">
        <v>79</v>
      </c>
      <c r="M110" s="10" t="n">
        <v>46318</v>
      </c>
    </row>
    <row r="111" customFormat="false" ht="15" hidden="false" customHeight="false" outlineLevel="0" collapsed="false">
      <c r="A111" s="5" t="s">
        <v>10</v>
      </c>
      <c r="B111" s="5" t="s">
        <v>11</v>
      </c>
      <c r="C111" s="5" t="s">
        <v>310</v>
      </c>
      <c r="D111" s="5" t="s">
        <v>62</v>
      </c>
      <c r="E111" s="5" t="s">
        <v>311</v>
      </c>
      <c r="F111" s="5" t="s">
        <v>82</v>
      </c>
      <c r="G111" s="10" t="n">
        <v>46205</v>
      </c>
      <c r="H111" s="10" t="n">
        <v>46265</v>
      </c>
      <c r="I111" s="6" t="n">
        <v>270.49</v>
      </c>
      <c r="J111" s="5" t="n">
        <f aca="false">IF(H111="","",MAX(0,Summary!$B$2-H111))</f>
        <v>53</v>
      </c>
      <c r="K111" s="5" t="str">
        <f aca="false">IF(J111="","No due date",IF(J111=0,"Not due",IF(J111&lt;=30,"1-30",IF(J111&lt;=60,"31-60",IF(J111&lt;=90,"61-90","90+")))))</f>
        <v>31-60</v>
      </c>
      <c r="L111" s="5" t="s">
        <v>79</v>
      </c>
      <c r="M111" s="10" t="n">
        <v>46318</v>
      </c>
    </row>
    <row r="112" customFormat="false" ht="15" hidden="false" customHeight="false" outlineLevel="0" collapsed="false">
      <c r="A112" s="5" t="s">
        <v>10</v>
      </c>
      <c r="B112" s="5" t="s">
        <v>11</v>
      </c>
      <c r="C112" s="5" t="s">
        <v>312</v>
      </c>
      <c r="D112" s="5" t="s">
        <v>62</v>
      </c>
      <c r="E112" s="5" t="s">
        <v>313</v>
      </c>
      <c r="F112" s="5" t="s">
        <v>133</v>
      </c>
      <c r="G112" s="10" t="n">
        <v>46205</v>
      </c>
      <c r="H112" s="10" t="n">
        <v>46265</v>
      </c>
      <c r="I112" s="6" t="n">
        <v>1041.23</v>
      </c>
      <c r="J112" s="5" t="n">
        <f aca="false">IF(H112="","",MAX(0,Summary!$B$2-H112))</f>
        <v>53</v>
      </c>
      <c r="K112" s="5" t="str">
        <f aca="false">IF(J112="","No due date",IF(J112=0,"Not due",IF(J112&lt;=30,"1-30",IF(J112&lt;=60,"31-60",IF(J112&lt;=90,"61-90","90+")))))</f>
        <v>31-60</v>
      </c>
      <c r="L112" s="5" t="s">
        <v>79</v>
      </c>
      <c r="M112" s="10" t="n">
        <v>46318</v>
      </c>
    </row>
    <row r="113" customFormat="false" ht="15" hidden="false" customHeight="false" outlineLevel="0" collapsed="false">
      <c r="A113" s="5" t="s">
        <v>10</v>
      </c>
      <c r="B113" s="5" t="s">
        <v>11</v>
      </c>
      <c r="C113" s="5" t="s">
        <v>314</v>
      </c>
      <c r="D113" s="5" t="s">
        <v>62</v>
      </c>
      <c r="E113" s="5" t="s">
        <v>315</v>
      </c>
      <c r="F113" s="5" t="s">
        <v>133</v>
      </c>
      <c r="G113" s="10" t="n">
        <v>46205</v>
      </c>
      <c r="H113" s="10" t="n">
        <v>46265</v>
      </c>
      <c r="I113" s="6" t="n">
        <v>134.75</v>
      </c>
      <c r="J113" s="5" t="n">
        <f aca="false">IF(H113="","",MAX(0,Summary!$B$2-H113))</f>
        <v>53</v>
      </c>
      <c r="K113" s="5" t="str">
        <f aca="false">IF(J113="","No due date",IF(J113=0,"Not due",IF(J113&lt;=30,"1-30",IF(J113&lt;=60,"31-60",IF(J113&lt;=90,"61-90","90+")))))</f>
        <v>31-60</v>
      </c>
      <c r="L113" s="5" t="s">
        <v>79</v>
      </c>
      <c r="M113" s="10" t="n">
        <v>46318</v>
      </c>
    </row>
    <row r="114" customFormat="false" ht="15" hidden="false" customHeight="false" outlineLevel="0" collapsed="false">
      <c r="A114" s="5" t="s">
        <v>10</v>
      </c>
      <c r="B114" s="5" t="s">
        <v>11</v>
      </c>
      <c r="C114" s="5" t="s">
        <v>316</v>
      </c>
      <c r="D114" s="5" t="s">
        <v>62</v>
      </c>
      <c r="E114" s="5" t="s">
        <v>317</v>
      </c>
      <c r="F114" s="5" t="s">
        <v>82</v>
      </c>
      <c r="G114" s="10" t="n">
        <v>46209</v>
      </c>
      <c r="H114" s="10" t="n">
        <v>46269</v>
      </c>
      <c r="I114" s="6" t="n">
        <v>1174.34</v>
      </c>
      <c r="J114" s="5" t="n">
        <f aca="false">IF(H114="","",MAX(0,Summary!$B$2-H114))</f>
        <v>49</v>
      </c>
      <c r="K114" s="5" t="str">
        <f aca="false">IF(J114="","No due date",IF(J114=0,"Not due",IF(J114&lt;=30,"1-30",IF(J114&lt;=60,"31-60",IF(J114&lt;=90,"61-90","90+")))))</f>
        <v>31-60</v>
      </c>
      <c r="L114" s="5" t="s">
        <v>79</v>
      </c>
      <c r="M114" s="10" t="n">
        <v>46318</v>
      </c>
    </row>
    <row r="115" customFormat="false" ht="15" hidden="false" customHeight="false" outlineLevel="0" collapsed="false">
      <c r="A115" s="5" t="s">
        <v>10</v>
      </c>
      <c r="B115" s="5" t="s">
        <v>11</v>
      </c>
      <c r="C115" s="5" t="s">
        <v>318</v>
      </c>
      <c r="D115" s="5" t="s">
        <v>62</v>
      </c>
      <c r="E115" s="5" t="s">
        <v>319</v>
      </c>
      <c r="F115" s="5" t="s">
        <v>133</v>
      </c>
      <c r="G115" s="10" t="n">
        <v>46219</v>
      </c>
      <c r="H115" s="10" t="n">
        <v>46279</v>
      </c>
      <c r="I115" s="6" t="n">
        <v>915.37</v>
      </c>
      <c r="J115" s="5" t="n">
        <f aca="false">IF(H115="","",MAX(0,Summary!$B$2-H115))</f>
        <v>39</v>
      </c>
      <c r="K115" s="5" t="str">
        <f aca="false">IF(J115="","No due date",IF(J115=0,"Not due",IF(J115&lt;=30,"1-30",IF(J115&lt;=60,"31-60",IF(J115&lt;=90,"61-90","90+")))))</f>
        <v>31-60</v>
      </c>
      <c r="L115" s="5" t="s">
        <v>79</v>
      </c>
      <c r="M115" s="10" t="n">
        <v>46318</v>
      </c>
    </row>
    <row r="116" customFormat="false" ht="15" hidden="false" customHeight="false" outlineLevel="0" collapsed="false">
      <c r="A116" s="5" t="s">
        <v>10</v>
      </c>
      <c r="B116" s="5" t="s">
        <v>11</v>
      </c>
      <c r="C116" s="5" t="s">
        <v>320</v>
      </c>
      <c r="D116" s="5" t="s">
        <v>62</v>
      </c>
      <c r="E116" s="5" t="s">
        <v>321</v>
      </c>
      <c r="F116" s="5" t="s">
        <v>322</v>
      </c>
      <c r="G116" s="10" t="n">
        <v>46225</v>
      </c>
      <c r="H116" s="10" t="n">
        <v>46285</v>
      </c>
      <c r="I116" s="6" t="n">
        <v>416.71</v>
      </c>
      <c r="J116" s="5" t="n">
        <f aca="false">IF(H116="","",MAX(0,Summary!$B$2-H116))</f>
        <v>33</v>
      </c>
      <c r="K116" s="5" t="str">
        <f aca="false">IF(J116="","No due date",IF(J116=0,"Not due",IF(J116&lt;=30,"1-30",IF(J116&lt;=60,"31-60",IF(J116&lt;=90,"61-90","90+")))))</f>
        <v>31-60</v>
      </c>
      <c r="L116" s="5" t="s">
        <v>79</v>
      </c>
      <c r="M116" s="10" t="n">
        <v>46318</v>
      </c>
    </row>
    <row r="117" customFormat="false" ht="15" hidden="false" customHeight="false" outlineLevel="0" collapsed="false">
      <c r="A117" s="5" t="s">
        <v>10</v>
      </c>
      <c r="B117" s="5" t="s">
        <v>11</v>
      </c>
      <c r="C117" s="5" t="s">
        <v>323</v>
      </c>
      <c r="D117" s="5" t="s">
        <v>62</v>
      </c>
      <c r="E117" s="5" t="s">
        <v>324</v>
      </c>
      <c r="F117" s="5" t="s">
        <v>198</v>
      </c>
      <c r="G117" s="10" t="n">
        <v>46225</v>
      </c>
      <c r="H117" s="10" t="n">
        <v>46285</v>
      </c>
      <c r="I117" s="6" t="n">
        <v>603.01</v>
      </c>
      <c r="J117" s="5" t="n">
        <f aca="false">IF(H117="","",MAX(0,Summary!$B$2-H117))</f>
        <v>33</v>
      </c>
      <c r="K117" s="5" t="str">
        <f aca="false">IF(J117="","No due date",IF(J117=0,"Not due",IF(J117&lt;=30,"1-30",IF(J117&lt;=60,"31-60",IF(J117&lt;=90,"61-90","90+")))))</f>
        <v>31-60</v>
      </c>
      <c r="L117" s="5" t="s">
        <v>79</v>
      </c>
      <c r="M117" s="10" t="n">
        <v>46318</v>
      </c>
    </row>
    <row r="118" customFormat="false" ht="15" hidden="false" customHeight="false" outlineLevel="0" collapsed="false">
      <c r="A118" s="5" t="s">
        <v>10</v>
      </c>
      <c r="B118" s="5" t="s">
        <v>11</v>
      </c>
      <c r="C118" s="5" t="s">
        <v>325</v>
      </c>
      <c r="D118" s="5" t="s">
        <v>62</v>
      </c>
      <c r="E118" s="5" t="s">
        <v>326</v>
      </c>
      <c r="F118" s="5" t="s">
        <v>133</v>
      </c>
      <c r="G118" s="10" t="n">
        <v>46225</v>
      </c>
      <c r="H118" s="10" t="n">
        <v>46285</v>
      </c>
      <c r="I118" s="6" t="n">
        <v>126.06</v>
      </c>
      <c r="J118" s="5" t="n">
        <f aca="false">IF(H118="","",MAX(0,Summary!$B$2-H118))</f>
        <v>33</v>
      </c>
      <c r="K118" s="5" t="str">
        <f aca="false">IF(J118="","No due date",IF(J118=0,"Not due",IF(J118&lt;=30,"1-30",IF(J118&lt;=60,"31-60",IF(J118&lt;=90,"61-90","90+")))))</f>
        <v>31-60</v>
      </c>
      <c r="L118" s="5" t="s">
        <v>79</v>
      </c>
      <c r="M118" s="10" t="n">
        <v>46318</v>
      </c>
    </row>
    <row r="119" customFormat="false" ht="15" hidden="false" customHeight="false" outlineLevel="0" collapsed="false">
      <c r="A119" s="5" t="s">
        <v>10</v>
      </c>
      <c r="B119" s="5" t="s">
        <v>11</v>
      </c>
      <c r="C119" s="5" t="s">
        <v>327</v>
      </c>
      <c r="D119" s="5" t="s">
        <v>62</v>
      </c>
      <c r="E119" s="5" t="s">
        <v>328</v>
      </c>
      <c r="F119" s="5" t="s">
        <v>133</v>
      </c>
      <c r="G119" s="10" t="n">
        <v>46225</v>
      </c>
      <c r="H119" s="10" t="n">
        <v>46285</v>
      </c>
      <c r="I119" s="6" t="n">
        <v>188.1</v>
      </c>
      <c r="J119" s="5" t="n">
        <f aca="false">IF(H119="","",MAX(0,Summary!$B$2-H119))</f>
        <v>33</v>
      </c>
      <c r="K119" s="5" t="str">
        <f aca="false">IF(J119="","No due date",IF(J119=0,"Not due",IF(J119&lt;=30,"1-30",IF(J119&lt;=60,"31-60",IF(J119&lt;=90,"61-90","90+")))))</f>
        <v>31-60</v>
      </c>
      <c r="L119" s="5" t="s">
        <v>79</v>
      </c>
      <c r="M119" s="10" t="n">
        <v>46318</v>
      </c>
    </row>
    <row r="120" customFormat="false" ht="15" hidden="false" customHeight="false" outlineLevel="0" collapsed="false">
      <c r="A120" s="5" t="s">
        <v>10</v>
      </c>
      <c r="B120" s="5" t="s">
        <v>11</v>
      </c>
      <c r="C120" s="5" t="s">
        <v>329</v>
      </c>
      <c r="D120" s="5" t="s">
        <v>62</v>
      </c>
      <c r="E120" s="5" t="s">
        <v>330</v>
      </c>
      <c r="F120" s="5" t="s">
        <v>133</v>
      </c>
      <c r="G120" s="10" t="n">
        <v>46225</v>
      </c>
      <c r="H120" s="10" t="n">
        <v>46285</v>
      </c>
      <c r="I120" s="6" t="n">
        <v>360.07</v>
      </c>
      <c r="J120" s="5" t="n">
        <f aca="false">IF(H120="","",MAX(0,Summary!$B$2-H120))</f>
        <v>33</v>
      </c>
      <c r="K120" s="5" t="str">
        <f aca="false">IF(J120="","No due date",IF(J120=0,"Not due",IF(J120&lt;=30,"1-30",IF(J120&lt;=60,"31-60",IF(J120&lt;=90,"61-90","90+")))))</f>
        <v>31-60</v>
      </c>
      <c r="L120" s="5" t="s">
        <v>79</v>
      </c>
      <c r="M120" s="10" t="n">
        <v>46318</v>
      </c>
    </row>
    <row r="121" customFormat="false" ht="15" hidden="false" customHeight="false" outlineLevel="0" collapsed="false">
      <c r="A121" s="5" t="s">
        <v>10</v>
      </c>
      <c r="B121" s="5" t="s">
        <v>11</v>
      </c>
      <c r="C121" s="5" t="s">
        <v>331</v>
      </c>
      <c r="D121" s="5" t="s">
        <v>62</v>
      </c>
      <c r="E121" s="5" t="s">
        <v>332</v>
      </c>
      <c r="F121" s="5" t="s">
        <v>133</v>
      </c>
      <c r="G121" s="10" t="n">
        <v>46230</v>
      </c>
      <c r="H121" s="10" t="n">
        <v>46290</v>
      </c>
      <c r="I121" s="6" t="n">
        <v>79.2</v>
      </c>
      <c r="J121" s="5" t="n">
        <f aca="false">IF(H121="","",MAX(0,Summary!$B$2-H121))</f>
        <v>28</v>
      </c>
      <c r="K121" s="5" t="str">
        <f aca="false">IF(J121="","No due date",IF(J121=0,"Not due",IF(J121&lt;=30,"1-30",IF(J121&lt;=60,"31-60",IF(J121&lt;=90,"61-90","90+")))))</f>
        <v>1-30</v>
      </c>
      <c r="L121" s="5" t="s">
        <v>79</v>
      </c>
      <c r="M121" s="10" t="n">
        <v>46318</v>
      </c>
    </row>
    <row r="122" customFormat="false" ht="15" hidden="false" customHeight="false" outlineLevel="0" collapsed="false">
      <c r="A122" s="5" t="s">
        <v>10</v>
      </c>
      <c r="B122" s="5" t="s">
        <v>11</v>
      </c>
      <c r="C122" s="5" t="s">
        <v>333</v>
      </c>
      <c r="D122" s="5" t="s">
        <v>62</v>
      </c>
      <c r="E122" s="5" t="s">
        <v>334</v>
      </c>
      <c r="F122" s="5" t="s">
        <v>111</v>
      </c>
      <c r="G122" s="10" t="n">
        <v>46230</v>
      </c>
      <c r="H122" s="10" t="n">
        <v>46290</v>
      </c>
      <c r="I122" s="6" t="n">
        <v>86.46</v>
      </c>
      <c r="J122" s="5" t="n">
        <f aca="false">IF(H122="","",MAX(0,Summary!$B$2-H122))</f>
        <v>28</v>
      </c>
      <c r="K122" s="5" t="str">
        <f aca="false">IF(J122="","No due date",IF(J122=0,"Not due",IF(J122&lt;=30,"1-30",IF(J122&lt;=60,"31-60",IF(J122&lt;=90,"61-90","90+")))))</f>
        <v>1-30</v>
      </c>
      <c r="L122" s="5" t="s">
        <v>79</v>
      </c>
      <c r="M122" s="10" t="n">
        <v>46318</v>
      </c>
    </row>
    <row r="123" customFormat="false" ht="15" hidden="false" customHeight="false" outlineLevel="0" collapsed="false">
      <c r="A123" s="5" t="s">
        <v>10</v>
      </c>
      <c r="B123" s="5" t="s">
        <v>11</v>
      </c>
      <c r="C123" s="5" t="s">
        <v>335</v>
      </c>
      <c r="D123" s="5" t="s">
        <v>62</v>
      </c>
      <c r="E123" s="5" t="s">
        <v>336</v>
      </c>
      <c r="F123" s="5" t="s">
        <v>82</v>
      </c>
      <c r="G123" s="10" t="n">
        <v>46234</v>
      </c>
      <c r="H123" s="10" t="n">
        <v>46294</v>
      </c>
      <c r="I123" s="6" t="n">
        <v>71.4</v>
      </c>
      <c r="J123" s="5" t="n">
        <f aca="false">IF(H123="","",MAX(0,Summary!$B$2-H123))</f>
        <v>24</v>
      </c>
      <c r="K123" s="5" t="str">
        <f aca="false">IF(J123="","No due date",IF(J123=0,"Not due",IF(J123&lt;=30,"1-30",IF(J123&lt;=60,"31-60",IF(J123&lt;=90,"61-90","90+")))))</f>
        <v>1-30</v>
      </c>
      <c r="L123" s="5" t="s">
        <v>79</v>
      </c>
      <c r="M123" s="10" t="n">
        <v>46318</v>
      </c>
    </row>
    <row r="124" customFormat="false" ht="15" hidden="false" customHeight="false" outlineLevel="0" collapsed="false">
      <c r="A124" s="5" t="s">
        <v>10</v>
      </c>
      <c r="B124" s="5" t="s">
        <v>11</v>
      </c>
      <c r="C124" s="5" t="s">
        <v>337</v>
      </c>
      <c r="D124" s="5" t="s">
        <v>62</v>
      </c>
      <c r="E124" s="5" t="s">
        <v>338</v>
      </c>
      <c r="F124" s="5" t="s">
        <v>120</v>
      </c>
      <c r="G124" s="10" t="n">
        <v>46234</v>
      </c>
      <c r="H124" s="10" t="n">
        <v>46294</v>
      </c>
      <c r="I124" s="6" t="n">
        <v>62.7</v>
      </c>
      <c r="J124" s="5" t="n">
        <f aca="false">IF(H124="","",MAX(0,Summary!$B$2-H124))</f>
        <v>24</v>
      </c>
      <c r="K124" s="5" t="str">
        <f aca="false">IF(J124="","No due date",IF(J124=0,"Not due",IF(J124&lt;=30,"1-30",IF(J124&lt;=60,"31-60",IF(J124&lt;=90,"61-90","90+")))))</f>
        <v>1-30</v>
      </c>
      <c r="L124" s="5" t="s">
        <v>79</v>
      </c>
      <c r="M124" s="10" t="n">
        <v>46318</v>
      </c>
    </row>
    <row r="125" customFormat="false" ht="15" hidden="false" customHeight="false" outlineLevel="0" collapsed="false">
      <c r="A125" s="5" t="s">
        <v>10</v>
      </c>
      <c r="B125" s="5" t="s">
        <v>11</v>
      </c>
      <c r="C125" s="5" t="s">
        <v>339</v>
      </c>
      <c r="D125" s="5" t="s">
        <v>62</v>
      </c>
      <c r="E125" s="5" t="s">
        <v>340</v>
      </c>
      <c r="F125" s="5" t="s">
        <v>123</v>
      </c>
      <c r="G125" s="10" t="n">
        <v>46234</v>
      </c>
      <c r="H125" s="10" t="n">
        <v>46294</v>
      </c>
      <c r="I125" s="6" t="n">
        <v>89.68</v>
      </c>
      <c r="J125" s="5" t="n">
        <f aca="false">IF(H125="","",MAX(0,Summary!$B$2-H125))</f>
        <v>24</v>
      </c>
      <c r="K125" s="5" t="str">
        <f aca="false">IF(J125="","No due date",IF(J125=0,"Not due",IF(J125&lt;=30,"1-30",IF(J125&lt;=60,"31-60",IF(J125&lt;=90,"61-90","90+")))))</f>
        <v>1-30</v>
      </c>
      <c r="L125" s="5" t="s">
        <v>79</v>
      </c>
      <c r="M125" s="10" t="n">
        <v>46318</v>
      </c>
    </row>
    <row r="126" customFormat="false" ht="15" hidden="false" customHeight="false" outlineLevel="0" collapsed="false">
      <c r="A126" s="5" t="s">
        <v>10</v>
      </c>
      <c r="B126" s="5" t="s">
        <v>11</v>
      </c>
      <c r="C126" s="5" t="s">
        <v>341</v>
      </c>
      <c r="D126" s="5" t="s">
        <v>62</v>
      </c>
      <c r="E126" s="5" t="s">
        <v>342</v>
      </c>
      <c r="F126" s="5" t="s">
        <v>133</v>
      </c>
      <c r="G126" s="10" t="n">
        <v>46234</v>
      </c>
      <c r="H126" s="10" t="n">
        <v>46294</v>
      </c>
      <c r="I126" s="6" t="n">
        <v>62.04</v>
      </c>
      <c r="J126" s="5" t="n">
        <f aca="false">IF(H126="","",MAX(0,Summary!$B$2-H126))</f>
        <v>24</v>
      </c>
      <c r="K126" s="5" t="str">
        <f aca="false">IF(J126="","No due date",IF(J126=0,"Not due",IF(J126&lt;=30,"1-30",IF(J126&lt;=60,"31-60",IF(J126&lt;=90,"61-90","90+")))))</f>
        <v>1-30</v>
      </c>
      <c r="L126" s="5" t="s">
        <v>79</v>
      </c>
      <c r="M126" s="10" t="n">
        <v>46318</v>
      </c>
    </row>
    <row r="127" customFormat="false" ht="15" hidden="false" customHeight="false" outlineLevel="0" collapsed="false">
      <c r="A127" s="5" t="s">
        <v>10</v>
      </c>
      <c r="B127" s="5" t="s">
        <v>11</v>
      </c>
      <c r="C127" s="5" t="s">
        <v>343</v>
      </c>
      <c r="D127" s="5" t="s">
        <v>62</v>
      </c>
      <c r="E127" s="5" t="s">
        <v>344</v>
      </c>
      <c r="F127" s="5" t="s">
        <v>133</v>
      </c>
      <c r="G127" s="10" t="n">
        <v>46241</v>
      </c>
      <c r="H127" s="10" t="n">
        <v>46301</v>
      </c>
      <c r="I127" s="6" t="n">
        <v>367.69</v>
      </c>
      <c r="J127" s="5" t="n">
        <f aca="false">IF(H127="","",MAX(0,Summary!$B$2-H127))</f>
        <v>17</v>
      </c>
      <c r="K127" s="5" t="str">
        <f aca="false">IF(J127="","No due date",IF(J127=0,"Not due",IF(J127&lt;=30,"1-30",IF(J127&lt;=60,"31-60",IF(J127&lt;=90,"61-90","90+")))))</f>
        <v>1-30</v>
      </c>
      <c r="L127" s="5" t="s">
        <v>79</v>
      </c>
      <c r="M127" s="10" t="n">
        <v>46318</v>
      </c>
    </row>
    <row r="128" customFormat="false" ht="15" hidden="false" customHeight="false" outlineLevel="0" collapsed="false">
      <c r="A128" s="5" t="s">
        <v>10</v>
      </c>
      <c r="B128" s="5" t="s">
        <v>11</v>
      </c>
      <c r="C128" s="5" t="s">
        <v>345</v>
      </c>
      <c r="D128" s="5" t="s">
        <v>62</v>
      </c>
      <c r="E128" s="5" t="s">
        <v>346</v>
      </c>
      <c r="F128" s="5" t="s">
        <v>120</v>
      </c>
      <c r="G128" s="10" t="n">
        <v>46241</v>
      </c>
      <c r="H128" s="10" t="n">
        <v>46301</v>
      </c>
      <c r="I128" s="6" t="n">
        <v>95.37</v>
      </c>
      <c r="J128" s="5" t="n">
        <f aca="false">IF(H128="","",MAX(0,Summary!$B$2-H128))</f>
        <v>17</v>
      </c>
      <c r="K128" s="5" t="str">
        <f aca="false">IF(J128="","No due date",IF(J128=0,"Not due",IF(J128&lt;=30,"1-30",IF(J128&lt;=60,"31-60",IF(J128&lt;=90,"61-90","90+")))))</f>
        <v>1-30</v>
      </c>
      <c r="L128" s="5" t="s">
        <v>79</v>
      </c>
      <c r="M128" s="10" t="n">
        <v>46318</v>
      </c>
    </row>
    <row r="129" customFormat="false" ht="15" hidden="false" customHeight="false" outlineLevel="0" collapsed="false">
      <c r="A129" s="5" t="s">
        <v>10</v>
      </c>
      <c r="B129" s="5" t="s">
        <v>11</v>
      </c>
      <c r="C129" s="5" t="s">
        <v>347</v>
      </c>
      <c r="D129" s="5" t="s">
        <v>62</v>
      </c>
      <c r="E129" s="5" t="s">
        <v>348</v>
      </c>
      <c r="F129" s="5" t="s">
        <v>133</v>
      </c>
      <c r="G129" s="10" t="n">
        <v>46241</v>
      </c>
      <c r="H129" s="10" t="n">
        <v>46301</v>
      </c>
      <c r="I129" s="6" t="n">
        <v>98.34</v>
      </c>
      <c r="J129" s="5" t="n">
        <f aca="false">IF(H129="","",MAX(0,Summary!$B$2-H129))</f>
        <v>17</v>
      </c>
      <c r="K129" s="5" t="str">
        <f aca="false">IF(J129="","No due date",IF(J129=0,"Not due",IF(J129&lt;=30,"1-30",IF(J129&lt;=60,"31-60",IF(J129&lt;=90,"61-90","90+")))))</f>
        <v>1-30</v>
      </c>
      <c r="L129" s="5" t="s">
        <v>79</v>
      </c>
      <c r="M129" s="10" t="n">
        <v>46318</v>
      </c>
    </row>
    <row r="130" customFormat="false" ht="15" hidden="false" customHeight="false" outlineLevel="0" collapsed="false">
      <c r="A130" s="5" t="s">
        <v>10</v>
      </c>
      <c r="B130" s="5" t="s">
        <v>11</v>
      </c>
      <c r="C130" s="5" t="s">
        <v>349</v>
      </c>
      <c r="D130" s="5" t="s">
        <v>62</v>
      </c>
      <c r="E130" s="5" t="s">
        <v>350</v>
      </c>
      <c r="F130" s="5" t="s">
        <v>99</v>
      </c>
      <c r="G130" s="10" t="n">
        <v>46241</v>
      </c>
      <c r="H130" s="10" t="n">
        <v>46301</v>
      </c>
      <c r="I130" s="6" t="n">
        <v>64.68</v>
      </c>
      <c r="J130" s="5" t="n">
        <f aca="false">IF(H130="","",MAX(0,Summary!$B$2-H130))</f>
        <v>17</v>
      </c>
      <c r="K130" s="5" t="str">
        <f aca="false">IF(J130="","No due date",IF(J130=0,"Not due",IF(J130&lt;=30,"1-30",IF(J130&lt;=60,"31-60",IF(J130&lt;=90,"61-90","90+")))))</f>
        <v>1-30</v>
      </c>
      <c r="L130" s="5" t="s">
        <v>79</v>
      </c>
      <c r="M130" s="10" t="n">
        <v>46318</v>
      </c>
    </row>
    <row r="131" customFormat="false" ht="15" hidden="false" customHeight="false" outlineLevel="0" collapsed="false">
      <c r="A131" s="5" t="s">
        <v>10</v>
      </c>
      <c r="B131" s="5" t="s">
        <v>11</v>
      </c>
      <c r="C131" s="5" t="s">
        <v>351</v>
      </c>
      <c r="D131" s="5" t="s">
        <v>62</v>
      </c>
      <c r="E131" s="5" t="s">
        <v>352</v>
      </c>
      <c r="F131" s="5" t="s">
        <v>120</v>
      </c>
      <c r="G131" s="10" t="n">
        <v>46241</v>
      </c>
      <c r="H131" s="10" t="n">
        <v>46301</v>
      </c>
      <c r="I131" s="6" t="n">
        <v>616.17</v>
      </c>
      <c r="J131" s="5" t="n">
        <f aca="false">IF(H131="","",MAX(0,Summary!$B$2-H131))</f>
        <v>17</v>
      </c>
      <c r="K131" s="5" t="str">
        <f aca="false">IF(J131="","No due date",IF(J131=0,"Not due",IF(J131&lt;=30,"1-30",IF(J131&lt;=60,"31-60",IF(J131&lt;=90,"61-90","90+")))))</f>
        <v>1-30</v>
      </c>
      <c r="L131" s="5" t="s">
        <v>79</v>
      </c>
      <c r="M131" s="10" t="n">
        <v>46318</v>
      </c>
    </row>
    <row r="132" customFormat="false" ht="15" hidden="false" customHeight="false" outlineLevel="0" collapsed="false">
      <c r="A132" s="5" t="s">
        <v>10</v>
      </c>
      <c r="B132" s="5" t="s">
        <v>11</v>
      </c>
      <c r="C132" s="5" t="s">
        <v>353</v>
      </c>
      <c r="D132" s="5" t="s">
        <v>62</v>
      </c>
      <c r="E132" s="5" t="s">
        <v>354</v>
      </c>
      <c r="F132" s="5" t="s">
        <v>268</v>
      </c>
      <c r="G132" s="10" t="n">
        <v>46241</v>
      </c>
      <c r="H132" s="10" t="n">
        <v>46301</v>
      </c>
      <c r="I132" s="6" t="n">
        <v>578.57</v>
      </c>
      <c r="J132" s="5" t="n">
        <f aca="false">IF(H132="","",MAX(0,Summary!$B$2-H132))</f>
        <v>17</v>
      </c>
      <c r="K132" s="5" t="str">
        <f aca="false">IF(J132="","No due date",IF(J132=0,"Not due",IF(J132&lt;=30,"1-30",IF(J132&lt;=60,"31-60",IF(J132&lt;=90,"61-90","90+")))))</f>
        <v>1-30</v>
      </c>
      <c r="L132" s="5" t="s">
        <v>79</v>
      </c>
      <c r="M132" s="10" t="n">
        <v>46318</v>
      </c>
    </row>
    <row r="133" customFormat="false" ht="15" hidden="false" customHeight="false" outlineLevel="0" collapsed="false">
      <c r="A133" s="5" t="s">
        <v>10</v>
      </c>
      <c r="B133" s="5" t="s">
        <v>11</v>
      </c>
      <c r="C133" s="5" t="s">
        <v>355</v>
      </c>
      <c r="D133" s="5" t="s">
        <v>62</v>
      </c>
      <c r="E133" s="5" t="s">
        <v>356</v>
      </c>
      <c r="F133" s="5" t="s">
        <v>123</v>
      </c>
      <c r="G133" s="10" t="n">
        <v>46241</v>
      </c>
      <c r="H133" s="10" t="n">
        <v>46301</v>
      </c>
      <c r="I133" s="6" t="n">
        <v>1001.98</v>
      </c>
      <c r="J133" s="5" t="n">
        <f aca="false">IF(H133="","",MAX(0,Summary!$B$2-H133))</f>
        <v>17</v>
      </c>
      <c r="K133" s="5" t="str">
        <f aca="false">IF(J133="","No due date",IF(J133=0,"Not due",IF(J133&lt;=30,"1-30",IF(J133&lt;=60,"31-60",IF(J133&lt;=90,"61-90","90+")))))</f>
        <v>1-30</v>
      </c>
      <c r="L133" s="5" t="s">
        <v>79</v>
      </c>
      <c r="M133" s="10" t="n">
        <v>46318</v>
      </c>
    </row>
    <row r="134" customFormat="false" ht="15" hidden="false" customHeight="false" outlineLevel="0" collapsed="false">
      <c r="A134" s="5" t="s">
        <v>10</v>
      </c>
      <c r="B134" s="5" t="s">
        <v>11</v>
      </c>
      <c r="C134" s="5" t="s">
        <v>357</v>
      </c>
      <c r="D134" s="5" t="s">
        <v>62</v>
      </c>
      <c r="E134" s="5" t="s">
        <v>358</v>
      </c>
      <c r="F134" s="5" t="s">
        <v>82</v>
      </c>
      <c r="G134" s="10" t="n">
        <v>46247</v>
      </c>
      <c r="H134" s="10" t="n">
        <v>46307</v>
      </c>
      <c r="I134" s="6" t="n">
        <v>97.35</v>
      </c>
      <c r="J134" s="5" t="n">
        <f aca="false">IF(H134="","",MAX(0,Summary!$B$2-H134))</f>
        <v>11</v>
      </c>
      <c r="K134" s="5" t="str">
        <f aca="false">IF(J134="","No due date",IF(J134=0,"Not due",IF(J134&lt;=30,"1-30",IF(J134&lt;=60,"31-60",IF(J134&lt;=90,"61-90","90+")))))</f>
        <v>1-30</v>
      </c>
      <c r="L134" s="5" t="s">
        <v>79</v>
      </c>
      <c r="M134" s="10" t="n">
        <v>46318</v>
      </c>
    </row>
    <row r="135" customFormat="false" ht="15" hidden="false" customHeight="false" outlineLevel="0" collapsed="false">
      <c r="A135" s="5" t="s">
        <v>10</v>
      </c>
      <c r="B135" s="5" t="s">
        <v>11</v>
      </c>
      <c r="C135" s="5" t="s">
        <v>359</v>
      </c>
      <c r="D135" s="5" t="s">
        <v>62</v>
      </c>
      <c r="E135" s="5" t="s">
        <v>360</v>
      </c>
      <c r="F135" s="5" t="s">
        <v>133</v>
      </c>
      <c r="G135" s="10" t="n">
        <v>46249</v>
      </c>
      <c r="H135" s="10" t="n">
        <v>46309</v>
      </c>
      <c r="I135" s="6" t="n">
        <v>534.14</v>
      </c>
      <c r="J135" s="5" t="n">
        <f aca="false">IF(H135="","",MAX(0,Summary!$B$2-H135))</f>
        <v>9</v>
      </c>
      <c r="K135" s="5" t="str">
        <f aca="false">IF(J135="","No due date",IF(J135=0,"Not due",IF(J135&lt;=30,"1-30",IF(J135&lt;=60,"31-60",IF(J135&lt;=90,"61-90","90+")))))</f>
        <v>1-30</v>
      </c>
      <c r="L135" s="5" t="s">
        <v>79</v>
      </c>
      <c r="M135" s="10" t="n">
        <v>46318</v>
      </c>
    </row>
    <row r="136" customFormat="false" ht="15" hidden="false" customHeight="false" outlineLevel="0" collapsed="false">
      <c r="A136" s="5" t="s">
        <v>10</v>
      </c>
      <c r="B136" s="5" t="s">
        <v>11</v>
      </c>
      <c r="C136" s="5" t="s">
        <v>361</v>
      </c>
      <c r="D136" s="5" t="s">
        <v>62</v>
      </c>
      <c r="E136" s="5" t="s">
        <v>362</v>
      </c>
      <c r="F136" s="5" t="s">
        <v>82</v>
      </c>
      <c r="G136" s="10" t="n">
        <v>46253</v>
      </c>
      <c r="H136" s="10" t="n">
        <v>46313</v>
      </c>
      <c r="I136" s="6" t="n">
        <v>240.82</v>
      </c>
      <c r="J136" s="5" t="n">
        <f aca="false">IF(H136="","",MAX(0,Summary!$B$2-H136))</f>
        <v>5</v>
      </c>
      <c r="K136" s="5" t="str">
        <f aca="false">IF(J136="","No due date",IF(J136=0,"Not due",IF(J136&lt;=30,"1-30",IF(J136&lt;=60,"31-60",IF(J136&lt;=90,"61-90","90+")))))</f>
        <v>1-30</v>
      </c>
      <c r="L136" s="5" t="s">
        <v>79</v>
      </c>
      <c r="M136" s="10" t="n">
        <v>46318</v>
      </c>
    </row>
    <row r="137" customFormat="false" ht="15" hidden="false" customHeight="false" outlineLevel="0" collapsed="false">
      <c r="A137" s="5" t="s">
        <v>10</v>
      </c>
      <c r="B137" s="5" t="s">
        <v>11</v>
      </c>
      <c r="C137" s="5" t="s">
        <v>363</v>
      </c>
      <c r="D137" s="5" t="s">
        <v>62</v>
      </c>
      <c r="E137" s="5" t="s">
        <v>364</v>
      </c>
      <c r="F137" s="5" t="s">
        <v>133</v>
      </c>
      <c r="G137" s="10" t="n">
        <v>46253</v>
      </c>
      <c r="H137" s="10" t="n">
        <v>46313</v>
      </c>
      <c r="I137" s="6" t="n">
        <v>155.39</v>
      </c>
      <c r="J137" s="5" t="n">
        <f aca="false">IF(H137="","",MAX(0,Summary!$B$2-H137))</f>
        <v>5</v>
      </c>
      <c r="K137" s="5" t="str">
        <f aca="false">IF(J137="","No due date",IF(J137=0,"Not due",IF(J137&lt;=30,"1-30",IF(J137&lt;=60,"31-60",IF(J137&lt;=90,"61-90","90+")))))</f>
        <v>1-30</v>
      </c>
      <c r="L137" s="5" t="s">
        <v>79</v>
      </c>
      <c r="M137" s="10" t="n">
        <v>46318</v>
      </c>
    </row>
    <row r="138" customFormat="false" ht="15" hidden="false" customHeight="false" outlineLevel="0" collapsed="false">
      <c r="A138" s="5" t="s">
        <v>10</v>
      </c>
      <c r="B138" s="5" t="s">
        <v>11</v>
      </c>
      <c r="C138" s="5" t="s">
        <v>365</v>
      </c>
      <c r="D138" s="5" t="s">
        <v>62</v>
      </c>
      <c r="E138" s="5" t="s">
        <v>366</v>
      </c>
      <c r="F138" s="5" t="s">
        <v>111</v>
      </c>
      <c r="G138" s="10" t="n">
        <v>46253</v>
      </c>
      <c r="H138" s="10" t="n">
        <v>46313</v>
      </c>
      <c r="I138" s="6" t="n">
        <v>44.12</v>
      </c>
      <c r="J138" s="5" t="n">
        <f aca="false">IF(H138="","",MAX(0,Summary!$B$2-H138))</f>
        <v>5</v>
      </c>
      <c r="K138" s="5" t="str">
        <f aca="false">IF(J138="","No due date",IF(J138=0,"Not due",IF(J138&lt;=30,"1-30",IF(J138&lt;=60,"31-60",IF(J138&lt;=90,"61-90","90+")))))</f>
        <v>1-30</v>
      </c>
      <c r="L138" s="5" t="s">
        <v>79</v>
      </c>
      <c r="M138" s="10" t="n">
        <v>46318</v>
      </c>
    </row>
    <row r="139" customFormat="false" ht="15" hidden="false" customHeight="false" outlineLevel="0" collapsed="false">
      <c r="A139" s="5" t="s">
        <v>10</v>
      </c>
      <c r="B139" s="5" t="s">
        <v>11</v>
      </c>
      <c r="C139" s="5" t="s">
        <v>367</v>
      </c>
      <c r="D139" s="5" t="s">
        <v>62</v>
      </c>
      <c r="E139" s="5" t="s">
        <v>368</v>
      </c>
      <c r="F139" s="5" t="s">
        <v>99</v>
      </c>
      <c r="G139" s="10" t="n">
        <v>46254</v>
      </c>
      <c r="H139" s="10" t="n">
        <v>46314</v>
      </c>
      <c r="I139" s="6" t="n">
        <v>640.53</v>
      </c>
      <c r="J139" s="5" t="n">
        <f aca="false">IF(H139="","",MAX(0,Summary!$B$2-H139))</f>
        <v>4</v>
      </c>
      <c r="K139" s="5" t="str">
        <f aca="false">IF(J139="","No due date",IF(J139=0,"Not due",IF(J139&lt;=30,"1-30",IF(J139&lt;=60,"31-60",IF(J139&lt;=90,"61-90","90+")))))</f>
        <v>1-30</v>
      </c>
      <c r="L139" s="5" t="s">
        <v>79</v>
      </c>
      <c r="M139" s="10" t="n">
        <v>46318</v>
      </c>
    </row>
    <row r="140" customFormat="false" ht="15" hidden="false" customHeight="false" outlineLevel="0" collapsed="false">
      <c r="A140" s="5" t="s">
        <v>10</v>
      </c>
      <c r="B140" s="5" t="s">
        <v>11</v>
      </c>
      <c r="C140" s="5" t="s">
        <v>369</v>
      </c>
      <c r="D140" s="5" t="s">
        <v>62</v>
      </c>
      <c r="E140" s="5" t="s">
        <v>370</v>
      </c>
      <c r="F140" s="5" t="s">
        <v>82</v>
      </c>
      <c r="G140" s="10" t="n">
        <v>46255</v>
      </c>
      <c r="H140" s="10" t="n">
        <v>46315</v>
      </c>
      <c r="I140" s="6" t="n">
        <v>163.35</v>
      </c>
      <c r="J140" s="5" t="n">
        <f aca="false">IF(H140="","",MAX(0,Summary!$B$2-H140))</f>
        <v>3</v>
      </c>
      <c r="K140" s="5" t="str">
        <f aca="false">IF(J140="","No due date",IF(J140=0,"Not due",IF(J140&lt;=30,"1-30",IF(J140&lt;=60,"31-60",IF(J140&lt;=90,"61-90","90+")))))</f>
        <v>1-30</v>
      </c>
      <c r="L140" s="5" t="s">
        <v>79</v>
      </c>
      <c r="M140" s="10" t="n">
        <v>46318</v>
      </c>
    </row>
    <row r="141" customFormat="false" ht="15" hidden="false" customHeight="false" outlineLevel="0" collapsed="false">
      <c r="A141" s="5" t="s">
        <v>10</v>
      </c>
      <c r="B141" s="5" t="s">
        <v>11</v>
      </c>
      <c r="C141" s="5" t="s">
        <v>371</v>
      </c>
      <c r="D141" s="5" t="s">
        <v>62</v>
      </c>
      <c r="E141" s="5" t="s">
        <v>372</v>
      </c>
      <c r="F141" s="5" t="s">
        <v>198</v>
      </c>
      <c r="G141" s="10" t="n">
        <v>46261</v>
      </c>
      <c r="H141" s="10" t="n">
        <v>46321</v>
      </c>
      <c r="I141" s="6" t="n">
        <v>344.27</v>
      </c>
      <c r="J141" s="5" t="n">
        <f aca="false">IF(H141="","",MAX(0,Summary!$B$2-H141))</f>
        <v>0</v>
      </c>
      <c r="K141" s="5" t="str">
        <f aca="false">IF(J141="","No due date",IF(J141=0,"Not due",IF(J141&lt;=30,"1-30",IF(J141&lt;=60,"31-60",IF(J141&lt;=90,"61-90","90+")))))</f>
        <v>Not due</v>
      </c>
      <c r="L141" s="5" t="s">
        <v>79</v>
      </c>
      <c r="M141" s="10" t="n">
        <v>46318</v>
      </c>
    </row>
    <row r="142" customFormat="false" ht="15" hidden="false" customHeight="false" outlineLevel="0" collapsed="false">
      <c r="A142" s="5" t="s">
        <v>10</v>
      </c>
      <c r="B142" s="5" t="s">
        <v>11</v>
      </c>
      <c r="C142" s="5" t="s">
        <v>373</v>
      </c>
      <c r="D142" s="5" t="s">
        <v>62</v>
      </c>
      <c r="E142" s="5" t="s">
        <v>374</v>
      </c>
      <c r="F142" s="5" t="s">
        <v>111</v>
      </c>
      <c r="G142" s="10" t="n">
        <v>46263</v>
      </c>
      <c r="H142" s="10" t="n">
        <v>46323</v>
      </c>
      <c r="I142" s="6" t="n">
        <v>340.82</v>
      </c>
      <c r="J142" s="5" t="n">
        <f aca="false">IF(H142="","",MAX(0,Summary!$B$2-H142))</f>
        <v>0</v>
      </c>
      <c r="K142" s="5" t="str">
        <f aca="false">IF(J142="","No due date",IF(J142=0,"Not due",IF(J142&lt;=30,"1-30",IF(J142&lt;=60,"31-60",IF(J142&lt;=90,"61-90","90+")))))</f>
        <v>Not due</v>
      </c>
      <c r="L142" s="5" t="s">
        <v>79</v>
      </c>
      <c r="M142" s="10" t="n">
        <v>46318</v>
      </c>
    </row>
    <row r="143" customFormat="false" ht="15" hidden="false" customHeight="false" outlineLevel="0" collapsed="false">
      <c r="A143" s="5" t="s">
        <v>10</v>
      </c>
      <c r="B143" s="5" t="s">
        <v>11</v>
      </c>
      <c r="C143" s="5" t="s">
        <v>375</v>
      </c>
      <c r="D143" s="5" t="s">
        <v>62</v>
      </c>
      <c r="E143" s="5" t="s">
        <v>376</v>
      </c>
      <c r="F143" s="5" t="s">
        <v>193</v>
      </c>
      <c r="G143" s="10" t="n">
        <v>46263</v>
      </c>
      <c r="H143" s="10" t="n">
        <v>46323</v>
      </c>
      <c r="I143" s="6" t="n">
        <v>113.37</v>
      </c>
      <c r="J143" s="5" t="n">
        <f aca="false">IF(H143="","",MAX(0,Summary!$B$2-H143))</f>
        <v>0</v>
      </c>
      <c r="K143" s="5" t="str">
        <f aca="false">IF(J143="","No due date",IF(J143=0,"Not due",IF(J143&lt;=30,"1-30",IF(J143&lt;=60,"31-60",IF(J143&lt;=90,"61-90","90+")))))</f>
        <v>Not due</v>
      </c>
      <c r="L143" s="5" t="s">
        <v>79</v>
      </c>
      <c r="M143" s="10" t="n">
        <v>46318</v>
      </c>
    </row>
    <row r="144" customFormat="false" ht="15" hidden="false" customHeight="false" outlineLevel="0" collapsed="false">
      <c r="A144" s="5" t="s">
        <v>10</v>
      </c>
      <c r="B144" s="5" t="s">
        <v>11</v>
      </c>
      <c r="C144" s="5" t="s">
        <v>377</v>
      </c>
      <c r="D144" s="5" t="s">
        <v>62</v>
      </c>
      <c r="E144" s="5" t="s">
        <v>378</v>
      </c>
      <c r="F144" s="5" t="s">
        <v>123</v>
      </c>
      <c r="G144" s="10" t="n">
        <v>46263</v>
      </c>
      <c r="H144" s="10" t="n">
        <v>46323</v>
      </c>
      <c r="I144" s="6" t="n">
        <v>115.58</v>
      </c>
      <c r="J144" s="5" t="n">
        <f aca="false">IF(H144="","",MAX(0,Summary!$B$2-H144))</f>
        <v>0</v>
      </c>
      <c r="K144" s="5" t="str">
        <f aca="false">IF(J144="","No due date",IF(J144=0,"Not due",IF(J144&lt;=30,"1-30",IF(J144&lt;=60,"31-60",IF(J144&lt;=90,"61-90","90+")))))</f>
        <v>Not due</v>
      </c>
      <c r="L144" s="5" t="s">
        <v>79</v>
      </c>
      <c r="M144" s="10" t="n">
        <v>46318</v>
      </c>
    </row>
    <row r="145" customFormat="false" ht="15" hidden="false" customHeight="false" outlineLevel="0" collapsed="false">
      <c r="A145" s="5" t="s">
        <v>10</v>
      </c>
      <c r="B145" s="5" t="s">
        <v>11</v>
      </c>
      <c r="C145" s="5" t="s">
        <v>379</v>
      </c>
      <c r="D145" s="5" t="s">
        <v>62</v>
      </c>
      <c r="E145" s="5" t="s">
        <v>380</v>
      </c>
      <c r="F145" s="5" t="s">
        <v>133</v>
      </c>
      <c r="G145" s="10" t="n">
        <v>46263</v>
      </c>
      <c r="H145" s="10" t="n">
        <v>46323</v>
      </c>
      <c r="I145" s="6" t="n">
        <v>897.19</v>
      </c>
      <c r="J145" s="5" t="n">
        <f aca="false">IF(H145="","",MAX(0,Summary!$B$2-H145))</f>
        <v>0</v>
      </c>
      <c r="K145" s="5" t="str">
        <f aca="false">IF(J145="","No due date",IF(J145=0,"Not due",IF(J145&lt;=30,"1-30",IF(J145&lt;=60,"31-60",IF(J145&lt;=90,"61-90","90+")))))</f>
        <v>Not due</v>
      </c>
      <c r="L145" s="5" t="s">
        <v>381</v>
      </c>
      <c r="M145" s="10" t="n">
        <v>46318</v>
      </c>
    </row>
    <row r="146" customFormat="false" ht="15" hidden="false" customHeight="false" outlineLevel="0" collapsed="false">
      <c r="A146" s="5" t="s">
        <v>10</v>
      </c>
      <c r="B146" s="5" t="s">
        <v>11</v>
      </c>
      <c r="C146" s="5" t="s">
        <v>382</v>
      </c>
      <c r="D146" s="5" t="s">
        <v>62</v>
      </c>
      <c r="E146" s="5" t="s">
        <v>383</v>
      </c>
      <c r="F146" s="5" t="s">
        <v>78</v>
      </c>
      <c r="G146" s="10" t="n">
        <v>46265</v>
      </c>
      <c r="H146" s="10" t="n">
        <v>46325</v>
      </c>
      <c r="I146" s="6" t="n">
        <v>183.4</v>
      </c>
      <c r="J146" s="5" t="n">
        <f aca="false">IF(H146="","",MAX(0,Summary!$B$2-H146))</f>
        <v>0</v>
      </c>
      <c r="K146" s="5" t="str">
        <f aca="false">IF(J146="","No due date",IF(J146=0,"Not due",IF(J146&lt;=30,"1-30",IF(J146&lt;=60,"31-60",IF(J146&lt;=90,"61-90","90+")))))</f>
        <v>Not due</v>
      </c>
      <c r="L146" s="5" t="s">
        <v>381</v>
      </c>
      <c r="M146" s="10" t="n">
        <v>46318</v>
      </c>
    </row>
    <row r="147" customFormat="false" ht="15" hidden="false" customHeight="false" outlineLevel="0" collapsed="false">
      <c r="A147" s="5" t="s">
        <v>10</v>
      </c>
      <c r="B147" s="5" t="s">
        <v>11</v>
      </c>
      <c r="C147" s="5" t="s">
        <v>384</v>
      </c>
      <c r="D147" s="5" t="s">
        <v>62</v>
      </c>
      <c r="E147" s="5" t="s">
        <v>385</v>
      </c>
      <c r="F147" s="5" t="s">
        <v>123</v>
      </c>
      <c r="G147" s="10" t="n">
        <v>46265</v>
      </c>
      <c r="H147" s="10" t="n">
        <v>46325</v>
      </c>
      <c r="I147" s="6" t="n">
        <v>325.93</v>
      </c>
      <c r="J147" s="5" t="n">
        <f aca="false">IF(H147="","",MAX(0,Summary!$B$2-H147))</f>
        <v>0</v>
      </c>
      <c r="K147" s="5" t="str">
        <f aca="false">IF(J147="","No due date",IF(J147=0,"Not due",IF(J147&lt;=30,"1-30",IF(J147&lt;=60,"31-60",IF(J147&lt;=90,"61-90","90+")))))</f>
        <v>Not due</v>
      </c>
      <c r="L147" s="5" t="s">
        <v>381</v>
      </c>
      <c r="M147" s="10" t="n">
        <v>46318</v>
      </c>
    </row>
    <row r="148" customFormat="false" ht="15" hidden="false" customHeight="false" outlineLevel="0" collapsed="false">
      <c r="A148" s="5" t="s">
        <v>10</v>
      </c>
      <c r="B148" s="5" t="s">
        <v>11</v>
      </c>
      <c r="C148" s="5" t="s">
        <v>386</v>
      </c>
      <c r="D148" s="5" t="s">
        <v>62</v>
      </c>
      <c r="E148" s="5" t="s">
        <v>387</v>
      </c>
      <c r="F148" s="5" t="s">
        <v>193</v>
      </c>
      <c r="G148" s="10" t="n">
        <v>46268</v>
      </c>
      <c r="H148" s="10" t="n">
        <v>46328</v>
      </c>
      <c r="I148" s="6" t="n">
        <v>940.97</v>
      </c>
      <c r="J148" s="5" t="n">
        <f aca="false">IF(H148="","",MAX(0,Summary!$B$2-H148))</f>
        <v>0</v>
      </c>
      <c r="K148" s="5" t="str">
        <f aca="false">IF(J148="","No due date",IF(J148=0,"Not due",IF(J148&lt;=30,"1-30",IF(J148&lt;=60,"31-60",IF(J148&lt;=90,"61-90","90+")))))</f>
        <v>Not due</v>
      </c>
      <c r="L148" s="5" t="s">
        <v>381</v>
      </c>
      <c r="M148" s="10" t="n">
        <v>46318</v>
      </c>
    </row>
    <row r="149" customFormat="false" ht="15" hidden="false" customHeight="false" outlineLevel="0" collapsed="false">
      <c r="A149" s="5" t="s">
        <v>10</v>
      </c>
      <c r="B149" s="5" t="s">
        <v>11</v>
      </c>
      <c r="C149" s="5" t="s">
        <v>388</v>
      </c>
      <c r="D149" s="5" t="s">
        <v>62</v>
      </c>
      <c r="E149" s="5" t="s">
        <v>389</v>
      </c>
      <c r="F149" s="5" t="s">
        <v>133</v>
      </c>
      <c r="G149" s="10" t="n">
        <v>46268</v>
      </c>
      <c r="H149" s="10" t="n">
        <v>46328</v>
      </c>
      <c r="I149" s="6" t="n">
        <v>64.68</v>
      </c>
      <c r="J149" s="5" t="n">
        <f aca="false">IF(H149="","",MAX(0,Summary!$B$2-H149))</f>
        <v>0</v>
      </c>
      <c r="K149" s="5" t="str">
        <f aca="false">IF(J149="","No due date",IF(J149=0,"Not due",IF(J149&lt;=30,"1-30",IF(J149&lt;=60,"31-60",IF(J149&lt;=90,"61-90","90+")))))</f>
        <v>Not due</v>
      </c>
      <c r="L149" s="5" t="s">
        <v>381</v>
      </c>
      <c r="M149" s="10" t="n">
        <v>46318</v>
      </c>
    </row>
    <row r="150" customFormat="false" ht="15" hidden="false" customHeight="false" outlineLevel="0" collapsed="false">
      <c r="A150" s="5" t="s">
        <v>10</v>
      </c>
      <c r="B150" s="5" t="s">
        <v>11</v>
      </c>
      <c r="C150" s="5" t="s">
        <v>390</v>
      </c>
      <c r="D150" s="5" t="s">
        <v>62</v>
      </c>
      <c r="E150" s="5" t="s">
        <v>391</v>
      </c>
      <c r="F150" s="5" t="s">
        <v>133</v>
      </c>
      <c r="G150" s="10" t="n">
        <v>46274</v>
      </c>
      <c r="H150" s="10" t="n">
        <v>46334</v>
      </c>
      <c r="I150" s="6" t="n">
        <v>122.1</v>
      </c>
      <c r="J150" s="5" t="n">
        <f aca="false">IF(H150="","",MAX(0,Summary!$B$2-H150))</f>
        <v>0</v>
      </c>
      <c r="K150" s="5" t="str">
        <f aca="false">IF(J150="","No due date",IF(J150=0,"Not due",IF(J150&lt;=30,"1-30",IF(J150&lt;=60,"31-60",IF(J150&lt;=90,"61-90","90+")))))</f>
        <v>Not due</v>
      </c>
      <c r="L150" s="5" t="s">
        <v>381</v>
      </c>
      <c r="M150" s="10" t="n">
        <v>46318</v>
      </c>
    </row>
    <row r="151" customFormat="false" ht="15" hidden="false" customHeight="false" outlineLevel="0" collapsed="false">
      <c r="A151" s="5" t="s">
        <v>10</v>
      </c>
      <c r="B151" s="5" t="s">
        <v>11</v>
      </c>
      <c r="C151" s="5" t="s">
        <v>392</v>
      </c>
      <c r="D151" s="5" t="s">
        <v>62</v>
      </c>
      <c r="E151" s="5" t="s">
        <v>393</v>
      </c>
      <c r="F151" s="5" t="s">
        <v>160</v>
      </c>
      <c r="G151" s="10" t="n">
        <v>46274</v>
      </c>
      <c r="H151" s="10" t="n">
        <v>46334</v>
      </c>
      <c r="I151" s="6" t="n">
        <v>1336.17</v>
      </c>
      <c r="J151" s="5" t="n">
        <f aca="false">IF(H151="","",MAX(0,Summary!$B$2-H151))</f>
        <v>0</v>
      </c>
      <c r="K151" s="5" t="str">
        <f aca="false">IF(J151="","No due date",IF(J151=0,"Not due",IF(J151&lt;=30,"1-30",IF(J151&lt;=60,"31-60",IF(J151&lt;=90,"61-90","90+")))))</f>
        <v>Not due</v>
      </c>
      <c r="L151" s="5" t="s">
        <v>381</v>
      </c>
      <c r="M151" s="10" t="n">
        <v>46318</v>
      </c>
    </row>
    <row r="152" customFormat="false" ht="15" hidden="false" customHeight="false" outlineLevel="0" collapsed="false">
      <c r="A152" s="5" t="s">
        <v>10</v>
      </c>
      <c r="B152" s="5" t="s">
        <v>11</v>
      </c>
      <c r="C152" s="5" t="s">
        <v>394</v>
      </c>
      <c r="D152" s="5" t="s">
        <v>62</v>
      </c>
      <c r="E152" s="5" t="s">
        <v>395</v>
      </c>
      <c r="F152" s="5" t="s">
        <v>170</v>
      </c>
      <c r="G152" s="10" t="n">
        <v>46274</v>
      </c>
      <c r="H152" s="10" t="n">
        <v>46334</v>
      </c>
      <c r="I152" s="6" t="n">
        <v>2448.25</v>
      </c>
      <c r="J152" s="5" t="n">
        <f aca="false">IF(H152="","",MAX(0,Summary!$B$2-H152))</f>
        <v>0</v>
      </c>
      <c r="K152" s="5" t="str">
        <f aca="false">IF(J152="","No due date",IF(J152=0,"Not due",IF(J152&lt;=30,"1-30",IF(J152&lt;=60,"31-60",IF(J152&lt;=90,"61-90","90+")))))</f>
        <v>Not due</v>
      </c>
      <c r="L152" s="5" t="s">
        <v>381</v>
      </c>
      <c r="M152" s="10" t="n">
        <v>46318</v>
      </c>
    </row>
    <row r="153" customFormat="false" ht="15" hidden="false" customHeight="false" outlineLevel="0" collapsed="false">
      <c r="A153" s="5" t="s">
        <v>10</v>
      </c>
      <c r="B153" s="5" t="s">
        <v>11</v>
      </c>
      <c r="C153" s="5" t="s">
        <v>396</v>
      </c>
      <c r="D153" s="5" t="s">
        <v>62</v>
      </c>
      <c r="E153" s="5" t="s">
        <v>397</v>
      </c>
      <c r="F153" s="5" t="s">
        <v>82</v>
      </c>
      <c r="G153" s="10" t="n">
        <v>46274</v>
      </c>
      <c r="H153" s="10" t="n">
        <v>46334</v>
      </c>
      <c r="I153" s="6" t="n">
        <v>84.48</v>
      </c>
      <c r="J153" s="5" t="n">
        <f aca="false">IF(H153="","",MAX(0,Summary!$B$2-H153))</f>
        <v>0</v>
      </c>
      <c r="K153" s="5" t="str">
        <f aca="false">IF(J153="","No due date",IF(J153=0,"Not due",IF(J153&lt;=30,"1-30",IF(J153&lt;=60,"31-60",IF(J153&lt;=90,"61-90","90+")))))</f>
        <v>Not due</v>
      </c>
      <c r="L153" s="5" t="s">
        <v>381</v>
      </c>
      <c r="M153" s="10" t="n">
        <v>46318</v>
      </c>
    </row>
    <row r="154" customFormat="false" ht="15" hidden="false" customHeight="false" outlineLevel="0" collapsed="false">
      <c r="A154" s="5" t="s">
        <v>10</v>
      </c>
      <c r="B154" s="5" t="s">
        <v>11</v>
      </c>
      <c r="C154" s="5" t="s">
        <v>398</v>
      </c>
      <c r="D154" s="5" t="s">
        <v>62</v>
      </c>
      <c r="E154" s="5" t="s">
        <v>399</v>
      </c>
      <c r="F154" s="5" t="s">
        <v>82</v>
      </c>
      <c r="G154" s="10" t="n">
        <v>46276</v>
      </c>
      <c r="H154" s="10" t="n">
        <v>46336</v>
      </c>
      <c r="I154" s="6" t="n">
        <v>395.13</v>
      </c>
      <c r="J154" s="5" t="n">
        <f aca="false">IF(H154="","",MAX(0,Summary!$B$2-H154))</f>
        <v>0</v>
      </c>
      <c r="K154" s="5" t="str">
        <f aca="false">IF(J154="","No due date",IF(J154=0,"Not due",IF(J154&lt;=30,"1-30",IF(J154&lt;=60,"31-60",IF(J154&lt;=90,"61-90","90+")))))</f>
        <v>Not due</v>
      </c>
      <c r="L154" s="5" t="s">
        <v>381</v>
      </c>
      <c r="M154" s="10" t="n">
        <v>46318</v>
      </c>
    </row>
    <row r="155" customFormat="false" ht="15" hidden="false" customHeight="false" outlineLevel="0" collapsed="false">
      <c r="A155" s="5" t="s">
        <v>10</v>
      </c>
      <c r="B155" s="5" t="s">
        <v>11</v>
      </c>
      <c r="C155" s="5" t="s">
        <v>400</v>
      </c>
      <c r="D155" s="5" t="s">
        <v>62</v>
      </c>
      <c r="E155" s="5" t="s">
        <v>401</v>
      </c>
      <c r="F155" s="5" t="s">
        <v>120</v>
      </c>
      <c r="G155" s="10" t="n">
        <v>46279</v>
      </c>
      <c r="H155" s="10" t="n">
        <v>46339</v>
      </c>
      <c r="I155" s="6" t="n">
        <v>91.56</v>
      </c>
      <c r="J155" s="5" t="n">
        <f aca="false">IF(H155="","",MAX(0,Summary!$B$2-H155))</f>
        <v>0</v>
      </c>
      <c r="K155" s="5" t="str">
        <f aca="false">IF(J155="","No due date",IF(J155=0,"Not due",IF(J155&lt;=30,"1-30",IF(J155&lt;=60,"31-60",IF(J155&lt;=90,"61-90","90+")))))</f>
        <v>Not due</v>
      </c>
      <c r="L155" s="5" t="s">
        <v>381</v>
      </c>
      <c r="M155" s="10" t="n">
        <v>46318</v>
      </c>
    </row>
    <row r="156" customFormat="false" ht="15" hidden="false" customHeight="false" outlineLevel="0" collapsed="false">
      <c r="A156" s="5" t="s">
        <v>10</v>
      </c>
      <c r="B156" s="5" t="s">
        <v>11</v>
      </c>
      <c r="C156" s="5" t="s">
        <v>402</v>
      </c>
      <c r="D156" s="5" t="s">
        <v>62</v>
      </c>
      <c r="E156" s="5" t="s">
        <v>403</v>
      </c>
      <c r="F156" s="5" t="s">
        <v>133</v>
      </c>
      <c r="G156" s="10" t="n">
        <v>46279</v>
      </c>
      <c r="H156" s="10" t="n">
        <v>46339</v>
      </c>
      <c r="I156" s="6" t="n">
        <v>266.97</v>
      </c>
      <c r="J156" s="5" t="n">
        <f aca="false">IF(H156="","",MAX(0,Summary!$B$2-H156))</f>
        <v>0</v>
      </c>
      <c r="K156" s="5" t="str">
        <f aca="false">IF(J156="","No due date",IF(J156=0,"Not due",IF(J156&lt;=30,"1-30",IF(J156&lt;=60,"31-60",IF(J156&lt;=90,"61-90","90+")))))</f>
        <v>Not due</v>
      </c>
      <c r="L156" s="5" t="s">
        <v>381</v>
      </c>
      <c r="M156" s="10" t="n">
        <v>46318</v>
      </c>
    </row>
    <row r="157" customFormat="false" ht="15" hidden="false" customHeight="false" outlineLevel="0" collapsed="false">
      <c r="A157" s="5" t="s">
        <v>10</v>
      </c>
      <c r="B157" s="5" t="s">
        <v>11</v>
      </c>
      <c r="C157" s="5" t="s">
        <v>404</v>
      </c>
      <c r="D157" s="5" t="s">
        <v>62</v>
      </c>
      <c r="E157" s="5" t="s">
        <v>405</v>
      </c>
      <c r="F157" s="5" t="s">
        <v>78</v>
      </c>
      <c r="G157" s="10" t="n">
        <v>46281</v>
      </c>
      <c r="H157" s="10" t="n">
        <v>46341</v>
      </c>
      <c r="I157" s="6" t="n">
        <v>115.58</v>
      </c>
      <c r="J157" s="5" t="n">
        <f aca="false">IF(H157="","",MAX(0,Summary!$B$2-H157))</f>
        <v>0</v>
      </c>
      <c r="K157" s="5" t="str">
        <f aca="false">IF(J157="","No due date",IF(J157=0,"Not due",IF(J157&lt;=30,"1-30",IF(J157&lt;=60,"31-60",IF(J157&lt;=90,"61-90","90+")))))</f>
        <v>Not due</v>
      </c>
      <c r="L157" s="5" t="s">
        <v>381</v>
      </c>
      <c r="M157" s="10" t="n">
        <v>46318</v>
      </c>
    </row>
    <row r="158" customFormat="false" ht="15" hidden="false" customHeight="false" outlineLevel="0" collapsed="false">
      <c r="A158" s="5" t="s">
        <v>10</v>
      </c>
      <c r="B158" s="5" t="s">
        <v>11</v>
      </c>
      <c r="C158" s="5" t="s">
        <v>406</v>
      </c>
      <c r="D158" s="5" t="s">
        <v>62</v>
      </c>
      <c r="E158" s="5" t="s">
        <v>407</v>
      </c>
      <c r="F158" s="5" t="s">
        <v>133</v>
      </c>
      <c r="G158" s="10" t="n">
        <v>46281</v>
      </c>
      <c r="H158" s="10" t="n">
        <v>46341</v>
      </c>
      <c r="I158" s="6" t="n">
        <v>459.66</v>
      </c>
      <c r="J158" s="5" t="n">
        <f aca="false">IF(H158="","",MAX(0,Summary!$B$2-H158))</f>
        <v>0</v>
      </c>
      <c r="K158" s="5" t="str">
        <f aca="false">IF(J158="","No due date",IF(J158=0,"Not due",IF(J158&lt;=30,"1-30",IF(J158&lt;=60,"31-60",IF(J158&lt;=90,"61-90","90+")))))</f>
        <v>Not due</v>
      </c>
      <c r="L158" s="5" t="s">
        <v>381</v>
      </c>
      <c r="M158" s="10" t="n">
        <v>46318</v>
      </c>
    </row>
    <row r="159" customFormat="false" ht="15" hidden="false" customHeight="false" outlineLevel="0" collapsed="false">
      <c r="A159" s="5" t="s">
        <v>10</v>
      </c>
      <c r="B159" s="5" t="s">
        <v>11</v>
      </c>
      <c r="C159" s="5" t="s">
        <v>408</v>
      </c>
      <c r="D159" s="5" t="s">
        <v>62</v>
      </c>
      <c r="E159" s="5" t="s">
        <v>409</v>
      </c>
      <c r="F159" s="5" t="s">
        <v>133</v>
      </c>
      <c r="G159" s="10" t="n">
        <v>46282</v>
      </c>
      <c r="H159" s="10" t="n">
        <v>46342</v>
      </c>
      <c r="I159" s="6" t="n">
        <v>953.94</v>
      </c>
      <c r="J159" s="5" t="n">
        <f aca="false">IF(H159="","",MAX(0,Summary!$B$2-H159))</f>
        <v>0</v>
      </c>
      <c r="K159" s="5" t="str">
        <f aca="false">IF(J159="","No due date",IF(J159=0,"Not due",IF(J159&lt;=30,"1-30",IF(J159&lt;=60,"31-60",IF(J159&lt;=90,"61-90","90+")))))</f>
        <v>Not due</v>
      </c>
      <c r="L159" s="5" t="s">
        <v>381</v>
      </c>
      <c r="M159" s="10" t="n">
        <v>46318</v>
      </c>
    </row>
    <row r="160" customFormat="false" ht="15" hidden="false" customHeight="false" outlineLevel="0" collapsed="false">
      <c r="A160" s="5" t="s">
        <v>10</v>
      </c>
      <c r="B160" s="5" t="s">
        <v>11</v>
      </c>
      <c r="C160" s="5" t="s">
        <v>410</v>
      </c>
      <c r="D160" s="5" t="s">
        <v>62</v>
      </c>
      <c r="E160" s="5" t="s">
        <v>411</v>
      </c>
      <c r="F160" s="5" t="s">
        <v>133</v>
      </c>
      <c r="G160" s="10" t="n">
        <v>46283</v>
      </c>
      <c r="H160" s="10" t="n">
        <v>46343</v>
      </c>
      <c r="I160" s="6" t="n">
        <v>169.51</v>
      </c>
      <c r="J160" s="5" t="n">
        <f aca="false">IF(H160="","",MAX(0,Summary!$B$2-H160))</f>
        <v>0</v>
      </c>
      <c r="K160" s="5" t="str">
        <f aca="false">IF(J160="","No due date",IF(J160=0,"Not due",IF(J160&lt;=30,"1-30",IF(J160&lt;=60,"31-60",IF(J160&lt;=90,"61-90","90+")))))</f>
        <v>Not due</v>
      </c>
      <c r="L160" s="5" t="s">
        <v>381</v>
      </c>
      <c r="M160" s="10" t="n">
        <v>46318</v>
      </c>
    </row>
    <row r="161" customFormat="false" ht="15" hidden="false" customHeight="false" outlineLevel="0" collapsed="false">
      <c r="A161" s="5" t="s">
        <v>10</v>
      </c>
      <c r="B161" s="5" t="s">
        <v>11</v>
      </c>
      <c r="C161" s="5" t="s">
        <v>412</v>
      </c>
      <c r="D161" s="5" t="s">
        <v>62</v>
      </c>
      <c r="E161" s="5" t="s">
        <v>413</v>
      </c>
      <c r="F161" s="5" t="s">
        <v>133</v>
      </c>
      <c r="G161" s="10" t="n">
        <v>46287</v>
      </c>
      <c r="H161" s="10" t="n">
        <v>46347</v>
      </c>
      <c r="I161" s="6" t="n">
        <v>52.91</v>
      </c>
      <c r="J161" s="5" t="n">
        <f aca="false">IF(H161="","",MAX(0,Summary!$B$2-H161))</f>
        <v>0</v>
      </c>
      <c r="K161" s="5" t="str">
        <f aca="false">IF(J161="","No due date",IF(J161=0,"Not due",IF(J161&lt;=30,"1-30",IF(J161&lt;=60,"31-60",IF(J161&lt;=90,"61-90","90+")))))</f>
        <v>Not due</v>
      </c>
      <c r="L161" s="5" t="s">
        <v>381</v>
      </c>
      <c r="M161" s="10" t="n">
        <v>46318</v>
      </c>
    </row>
    <row r="162" customFormat="false" ht="15" hidden="false" customHeight="false" outlineLevel="0" collapsed="false">
      <c r="A162" s="5" t="s">
        <v>10</v>
      </c>
      <c r="B162" s="5" t="s">
        <v>11</v>
      </c>
      <c r="C162" s="5" t="s">
        <v>414</v>
      </c>
      <c r="D162" s="5" t="s">
        <v>62</v>
      </c>
      <c r="E162" s="5" t="s">
        <v>415</v>
      </c>
      <c r="F162" s="5" t="s">
        <v>133</v>
      </c>
      <c r="G162" s="10" t="n">
        <v>46293</v>
      </c>
      <c r="H162" s="10" t="n">
        <v>46353</v>
      </c>
      <c r="I162" s="6" t="n">
        <v>1227.22</v>
      </c>
      <c r="J162" s="5" t="n">
        <f aca="false">IF(H162="","",MAX(0,Summary!$B$2-H162))</f>
        <v>0</v>
      </c>
      <c r="K162" s="5" t="str">
        <f aca="false">IF(J162="","No due date",IF(J162=0,"Not due",IF(J162&lt;=30,"1-30",IF(J162&lt;=60,"31-60",IF(J162&lt;=90,"61-90","90+")))))</f>
        <v>Not due</v>
      </c>
      <c r="L162" s="5" t="s">
        <v>381</v>
      </c>
      <c r="M162" s="10" t="n">
        <v>46318</v>
      </c>
    </row>
    <row r="163" customFormat="false" ht="15" hidden="false" customHeight="false" outlineLevel="0" collapsed="false">
      <c r="A163" s="5" t="s">
        <v>10</v>
      </c>
      <c r="B163" s="5" t="s">
        <v>11</v>
      </c>
      <c r="C163" s="5" t="s">
        <v>416</v>
      </c>
      <c r="D163" s="5" t="s">
        <v>62</v>
      </c>
      <c r="E163" s="5" t="s">
        <v>417</v>
      </c>
      <c r="F163" s="5" t="s">
        <v>133</v>
      </c>
      <c r="G163" s="10" t="n">
        <v>46293</v>
      </c>
      <c r="H163" s="10" t="n">
        <v>46353</v>
      </c>
      <c r="I163" s="6" t="n">
        <v>1071.29</v>
      </c>
      <c r="J163" s="5" t="n">
        <f aca="false">IF(H163="","",MAX(0,Summary!$B$2-H163))</f>
        <v>0</v>
      </c>
      <c r="K163" s="5" t="str">
        <f aca="false">IF(J163="","No due date",IF(J163=0,"Not due",IF(J163&lt;=30,"1-30",IF(J163&lt;=60,"31-60",IF(J163&lt;=90,"61-90","90+")))))</f>
        <v>Not due</v>
      </c>
      <c r="L163" s="5" t="s">
        <v>381</v>
      </c>
      <c r="M163" s="10" t="n">
        <v>46318</v>
      </c>
    </row>
    <row r="164" customFormat="false" ht="15" hidden="false" customHeight="false" outlineLevel="0" collapsed="false">
      <c r="A164" s="5" t="s">
        <v>10</v>
      </c>
      <c r="B164" s="5" t="s">
        <v>11</v>
      </c>
      <c r="C164" s="5" t="s">
        <v>418</v>
      </c>
      <c r="D164" s="5" t="s">
        <v>62</v>
      </c>
      <c r="E164" s="5" t="s">
        <v>419</v>
      </c>
      <c r="F164" s="5" t="s">
        <v>170</v>
      </c>
      <c r="G164" s="10" t="n">
        <v>46296</v>
      </c>
      <c r="H164" s="10" t="n">
        <v>46356</v>
      </c>
      <c r="I164" s="6" t="n">
        <v>100.32</v>
      </c>
      <c r="J164" s="5" t="n">
        <f aca="false">IF(H164="","",MAX(0,Summary!$B$2-H164))</f>
        <v>0</v>
      </c>
      <c r="K164" s="5" t="str">
        <f aca="false">IF(J164="","No due date",IF(J164=0,"Not due",IF(J164&lt;=30,"1-30",IF(J164&lt;=60,"31-60",IF(J164&lt;=90,"61-90","90+")))))</f>
        <v>Not due</v>
      </c>
      <c r="L164" s="5" t="s">
        <v>381</v>
      </c>
      <c r="M164" s="10" t="n">
        <v>46318</v>
      </c>
    </row>
    <row r="165" customFormat="false" ht="15" hidden="false" customHeight="false" outlineLevel="0" collapsed="false">
      <c r="A165" s="5" t="s">
        <v>10</v>
      </c>
      <c r="B165" s="5" t="s">
        <v>11</v>
      </c>
      <c r="C165" s="5" t="s">
        <v>420</v>
      </c>
      <c r="D165" s="5" t="s">
        <v>62</v>
      </c>
      <c r="E165" s="5" t="s">
        <v>421</v>
      </c>
      <c r="F165" s="5" t="s">
        <v>120</v>
      </c>
      <c r="G165" s="10" t="n">
        <v>46301</v>
      </c>
      <c r="H165" s="10" t="n">
        <v>46361</v>
      </c>
      <c r="I165" s="6" t="n">
        <v>303.47</v>
      </c>
      <c r="J165" s="5" t="n">
        <f aca="false">IF(H165="","",MAX(0,Summary!$B$2-H165))</f>
        <v>0</v>
      </c>
      <c r="K165" s="5" t="str">
        <f aca="false">IF(J165="","No due date",IF(J165=0,"Not due",IF(J165&lt;=30,"1-30",IF(J165&lt;=60,"31-60",IF(J165&lt;=90,"61-90","90+")))))</f>
        <v>Not due</v>
      </c>
      <c r="L165" s="5" t="s">
        <v>381</v>
      </c>
      <c r="M165" s="10" t="n">
        <v>46318</v>
      </c>
    </row>
    <row r="166" customFormat="false" ht="15" hidden="false" customHeight="false" outlineLevel="0" collapsed="false">
      <c r="A166" s="5" t="s">
        <v>10</v>
      </c>
      <c r="B166" s="5" t="s">
        <v>11</v>
      </c>
      <c r="C166" s="5" t="s">
        <v>422</v>
      </c>
      <c r="D166" s="5" t="s">
        <v>62</v>
      </c>
      <c r="E166" s="5" t="s">
        <v>423</v>
      </c>
      <c r="F166" s="5" t="s">
        <v>322</v>
      </c>
      <c r="G166" s="10" t="n">
        <v>46301</v>
      </c>
      <c r="H166" s="10" t="n">
        <v>46361</v>
      </c>
      <c r="I166" s="6" t="n">
        <v>983.43</v>
      </c>
      <c r="J166" s="5" t="n">
        <f aca="false">IF(H166="","",MAX(0,Summary!$B$2-H166))</f>
        <v>0</v>
      </c>
      <c r="K166" s="5" t="str">
        <f aca="false">IF(J166="","No due date",IF(J166=0,"Not due",IF(J166&lt;=30,"1-30",IF(J166&lt;=60,"31-60",IF(J166&lt;=90,"61-90","90+")))))</f>
        <v>Not due</v>
      </c>
      <c r="L166" s="5" t="s">
        <v>381</v>
      </c>
      <c r="M166" s="10" t="n">
        <v>46318</v>
      </c>
    </row>
    <row r="167" customFormat="false" ht="15" hidden="false" customHeight="false" outlineLevel="0" collapsed="false">
      <c r="A167" s="5" t="s">
        <v>10</v>
      </c>
      <c r="B167" s="5" t="s">
        <v>11</v>
      </c>
      <c r="C167" s="5" t="s">
        <v>424</v>
      </c>
      <c r="D167" s="5" t="s">
        <v>62</v>
      </c>
      <c r="E167" s="5" t="s">
        <v>425</v>
      </c>
      <c r="F167" s="5" t="s">
        <v>82</v>
      </c>
      <c r="G167" s="10" t="n">
        <v>46304</v>
      </c>
      <c r="H167" s="10" t="n">
        <v>46364</v>
      </c>
      <c r="I167" s="6" t="n">
        <v>1611.57</v>
      </c>
      <c r="J167" s="5" t="n">
        <f aca="false">IF(H167="","",MAX(0,Summary!$B$2-H167))</f>
        <v>0</v>
      </c>
      <c r="K167" s="5" t="str">
        <f aca="false">IF(J167="","No due date",IF(J167=0,"Not due",IF(J167&lt;=30,"1-30",IF(J167&lt;=60,"31-60",IF(J167&lt;=90,"61-90","90+")))))</f>
        <v>Not due</v>
      </c>
      <c r="L167" s="5" t="s">
        <v>381</v>
      </c>
      <c r="M167" s="10" t="n">
        <v>46318</v>
      </c>
    </row>
    <row r="168" customFormat="false" ht="15" hidden="false" customHeight="false" outlineLevel="0" collapsed="false">
      <c r="A168" s="5" t="s">
        <v>10</v>
      </c>
      <c r="B168" s="5" t="s">
        <v>11</v>
      </c>
      <c r="C168" s="5" t="s">
        <v>426</v>
      </c>
      <c r="D168" s="5" t="s">
        <v>62</v>
      </c>
      <c r="E168" s="5" t="s">
        <v>427</v>
      </c>
      <c r="F168" s="5" t="s">
        <v>133</v>
      </c>
      <c r="G168" s="10" t="n">
        <v>46314</v>
      </c>
      <c r="H168" s="10" t="n">
        <v>46374</v>
      </c>
      <c r="I168" s="6" t="n">
        <v>64.68</v>
      </c>
      <c r="J168" s="5" t="n">
        <f aca="false">IF(H168="","",MAX(0,Summary!$B$2-H168))</f>
        <v>0</v>
      </c>
      <c r="K168" s="5" t="str">
        <f aca="false">IF(J168="","No due date",IF(J168=0,"Not due",IF(J168&lt;=30,"1-30",IF(J168&lt;=60,"31-60",IF(J168&lt;=90,"61-90","90+")))))</f>
        <v>Not due</v>
      </c>
      <c r="L168" s="5" t="s">
        <v>381</v>
      </c>
      <c r="M168" s="10" t="n">
        <v>46318</v>
      </c>
    </row>
    <row r="169" customFormat="false" ht="15" hidden="false" customHeight="false" outlineLevel="0" collapsed="false">
      <c r="A169" s="5" t="s">
        <v>10</v>
      </c>
      <c r="B169" s="5" t="s">
        <v>11</v>
      </c>
      <c r="C169" s="5" t="s">
        <v>428</v>
      </c>
      <c r="D169" s="5" t="s">
        <v>62</v>
      </c>
      <c r="E169" s="5" t="s">
        <v>429</v>
      </c>
      <c r="F169" s="5" t="s">
        <v>82</v>
      </c>
      <c r="G169" s="10" t="n">
        <v>46314</v>
      </c>
      <c r="H169" s="10" t="n">
        <v>46374</v>
      </c>
      <c r="I169" s="6" t="n">
        <v>1878.44</v>
      </c>
      <c r="J169" s="5" t="n">
        <f aca="false">IF(H169="","",MAX(0,Summary!$B$2-H169))</f>
        <v>0</v>
      </c>
      <c r="K169" s="5" t="str">
        <f aca="false">IF(J169="","No due date",IF(J169=0,"Not due",IF(J169&lt;=30,"1-30",IF(J169&lt;=60,"31-60",IF(J169&lt;=90,"61-90","90+")))))</f>
        <v>Not due</v>
      </c>
      <c r="L169" s="5" t="s">
        <v>381</v>
      </c>
      <c r="M169" s="10" t="n">
        <v>46318</v>
      </c>
    </row>
    <row r="170" customFormat="false" ht="15" hidden="false" customHeight="false" outlineLevel="0" collapsed="false">
      <c r="A170" s="5" t="s">
        <v>10</v>
      </c>
      <c r="B170" s="5" t="s">
        <v>11</v>
      </c>
      <c r="C170" s="5" t="s">
        <v>430</v>
      </c>
      <c r="D170" s="5" t="s">
        <v>62</v>
      </c>
      <c r="E170" s="5" t="s">
        <v>431</v>
      </c>
      <c r="F170" s="5" t="s">
        <v>123</v>
      </c>
      <c r="G170" s="10" t="n">
        <v>46314</v>
      </c>
      <c r="H170" s="10" t="n">
        <v>46374</v>
      </c>
      <c r="I170" s="6" t="n">
        <v>115.58</v>
      </c>
      <c r="J170" s="5" t="n">
        <f aca="false">IF(H170="","",MAX(0,Summary!$B$2-H170))</f>
        <v>0</v>
      </c>
      <c r="K170" s="5" t="str">
        <f aca="false">IF(J170="","No due date",IF(J170=0,"Not due",IF(J170&lt;=30,"1-30",IF(J170&lt;=60,"31-60",IF(J170&lt;=90,"61-90","90+")))))</f>
        <v>Not due</v>
      </c>
      <c r="L170" s="5" t="s">
        <v>381</v>
      </c>
      <c r="M170" s="10" t="n">
        <v>46318</v>
      </c>
    </row>
    <row r="171" customFormat="false" ht="15" hidden="false" customHeight="false" outlineLevel="0" collapsed="false">
      <c r="A171" s="5" t="s">
        <v>16</v>
      </c>
      <c r="B171" s="5" t="s">
        <v>17</v>
      </c>
      <c r="C171" s="5" t="s">
        <v>432</v>
      </c>
      <c r="D171" s="5" t="s">
        <v>62</v>
      </c>
      <c r="E171" s="5" t="s">
        <v>433</v>
      </c>
      <c r="F171" s="5" t="s">
        <v>434</v>
      </c>
      <c r="G171" s="10" t="n">
        <v>45835</v>
      </c>
      <c r="H171" s="10" t="n">
        <v>45865</v>
      </c>
      <c r="I171" s="6" t="n">
        <v>312.58</v>
      </c>
      <c r="J171" s="5" t="n">
        <f aca="false">IF(H171="","",MAX(0,Summary!$B$2-H171))</f>
        <v>453</v>
      </c>
      <c r="K171" s="5" t="str">
        <f aca="false">IF(J171="","No due date",IF(J171=0,"Not due",IF(J171&lt;=30,"1-30",IF(J171&lt;=60,"31-60",IF(J171&lt;=90,"61-90","90+")))))</f>
        <v>90+</v>
      </c>
      <c r="L171" s="5" t="s">
        <v>435</v>
      </c>
      <c r="M171" s="10" t="n">
        <v>46318</v>
      </c>
    </row>
    <row r="172" customFormat="false" ht="15" hidden="false" customHeight="false" outlineLevel="0" collapsed="false">
      <c r="A172" s="5" t="s">
        <v>16</v>
      </c>
      <c r="B172" s="5" t="s">
        <v>17</v>
      </c>
      <c r="C172" s="5" t="s">
        <v>436</v>
      </c>
      <c r="D172" s="5" t="s">
        <v>62</v>
      </c>
      <c r="E172" s="5" t="s">
        <v>437</v>
      </c>
      <c r="F172" s="5" t="s">
        <v>438</v>
      </c>
      <c r="G172" s="10" t="n">
        <v>46007</v>
      </c>
      <c r="H172" s="10" t="n">
        <v>46037</v>
      </c>
      <c r="I172" s="6" t="n">
        <v>430.51</v>
      </c>
      <c r="J172" s="5" t="n">
        <f aca="false">IF(H172="","",MAX(0,Summary!$B$2-H172))</f>
        <v>281</v>
      </c>
      <c r="K172" s="5" t="str">
        <f aca="false">IF(J172="","No due date",IF(J172=0,"Not due",IF(J172&lt;=30,"1-30",IF(J172&lt;=60,"31-60",IF(J172&lt;=90,"61-90","90+")))))</f>
        <v>90+</v>
      </c>
      <c r="L172" s="5" t="s">
        <v>435</v>
      </c>
      <c r="M172" s="10" t="n">
        <v>46318</v>
      </c>
    </row>
    <row r="173" customFormat="false" ht="15" hidden="false" customHeight="false" outlineLevel="0" collapsed="false">
      <c r="A173" s="5" t="s">
        <v>16</v>
      </c>
      <c r="B173" s="5" t="s">
        <v>17</v>
      </c>
      <c r="C173" s="5" t="s">
        <v>439</v>
      </c>
      <c r="D173" s="5" t="s">
        <v>67</v>
      </c>
      <c r="E173" s="5"/>
      <c r="F173" s="5" t="s">
        <v>440</v>
      </c>
      <c r="G173" s="10" t="n">
        <v>46143</v>
      </c>
      <c r="H173" s="10" t="n">
        <v>46143</v>
      </c>
      <c r="I173" s="6" t="n">
        <v>492.16</v>
      </c>
      <c r="J173" s="5" t="n">
        <f aca="false">IF(H173="","",MAX(0,Summary!$B$2-H173))</f>
        <v>175</v>
      </c>
      <c r="K173" s="5" t="str">
        <f aca="false">IF(J173="","No due date",IF(J173=0,"Not due",IF(J173&lt;=30,"1-30",IF(J173&lt;=60,"31-60",IF(J173&lt;=90,"61-90","90+")))))</f>
        <v>90+</v>
      </c>
      <c r="L173" s="5" t="s">
        <v>435</v>
      </c>
      <c r="M173" s="10" t="n">
        <v>46318</v>
      </c>
    </row>
    <row r="174" customFormat="false" ht="15" hidden="false" customHeight="false" outlineLevel="0" collapsed="false">
      <c r="A174" s="5" t="s">
        <v>16</v>
      </c>
      <c r="B174" s="5" t="s">
        <v>17</v>
      </c>
      <c r="C174" s="5" t="s">
        <v>441</v>
      </c>
      <c r="D174" s="5" t="s">
        <v>62</v>
      </c>
      <c r="E174" s="5" t="s">
        <v>442</v>
      </c>
      <c r="F174" s="5" t="s">
        <v>443</v>
      </c>
      <c r="G174" s="10" t="n">
        <v>46289</v>
      </c>
      <c r="H174" s="10" t="n">
        <v>46319</v>
      </c>
      <c r="I174" s="6" t="n">
        <v>551.19</v>
      </c>
      <c r="J174" s="5" t="n">
        <f aca="false">IF(H174="","",MAX(0,Summary!$B$2-H174))</f>
        <v>0</v>
      </c>
      <c r="K174" s="5" t="str">
        <f aca="false">IF(J174="","No due date",IF(J174=0,"Not due",IF(J174&lt;=30,"1-30",IF(J174&lt;=60,"31-60",IF(J174&lt;=90,"61-90","90+")))))</f>
        <v>Not due</v>
      </c>
      <c r="L174" s="5" t="s">
        <v>444</v>
      </c>
      <c r="M174" s="10" t="n">
        <v>46318</v>
      </c>
    </row>
    <row r="175" customFormat="false" ht="15" hidden="false" customHeight="false" outlineLevel="0" collapsed="false">
      <c r="A175" s="5" t="s">
        <v>16</v>
      </c>
      <c r="B175" s="5" t="s">
        <v>17</v>
      </c>
      <c r="C175" s="5" t="s">
        <v>445</v>
      </c>
      <c r="D175" s="5" t="s">
        <v>62</v>
      </c>
      <c r="E175" s="5" t="s">
        <v>446</v>
      </c>
      <c r="F175" s="5" t="s">
        <v>438</v>
      </c>
      <c r="G175" s="10" t="n">
        <v>46295</v>
      </c>
      <c r="H175" s="10" t="n">
        <v>46325</v>
      </c>
      <c r="I175" s="6" t="n">
        <v>1041.16</v>
      </c>
      <c r="J175" s="5" t="n">
        <f aca="false">IF(H175="","",MAX(0,Summary!$B$2-H175))</f>
        <v>0</v>
      </c>
      <c r="K175" s="5" t="str">
        <f aca="false">IF(J175="","No due date",IF(J175=0,"Not due",IF(J175&lt;=30,"1-30",IF(J175&lt;=60,"31-60",IF(J175&lt;=90,"61-90","90+")))))</f>
        <v>Not due</v>
      </c>
      <c r="L175" s="5" t="s">
        <v>444</v>
      </c>
      <c r="M175" s="10" t="n">
        <v>46318</v>
      </c>
    </row>
    <row r="176" customFormat="false" ht="15" hidden="false" customHeight="false" outlineLevel="0" collapsed="false">
      <c r="A176" s="5" t="s">
        <v>16</v>
      </c>
      <c r="B176" s="5" t="s">
        <v>17</v>
      </c>
      <c r="C176" s="5" t="s">
        <v>447</v>
      </c>
      <c r="D176" s="5" t="s">
        <v>62</v>
      </c>
      <c r="E176" s="5" t="s">
        <v>448</v>
      </c>
      <c r="F176" s="5" t="s">
        <v>438</v>
      </c>
      <c r="G176" s="10" t="n">
        <v>46303</v>
      </c>
      <c r="H176" s="10" t="n">
        <v>46333</v>
      </c>
      <c r="I176" s="6" t="n">
        <v>755.87</v>
      </c>
      <c r="J176" s="5" t="n">
        <f aca="false">IF(H176="","",MAX(0,Summary!$B$2-H176))</f>
        <v>0</v>
      </c>
      <c r="K176" s="5" t="str">
        <f aca="false">IF(J176="","No due date",IF(J176=0,"Not due",IF(J176&lt;=30,"1-30",IF(J176&lt;=60,"31-60",IF(J176&lt;=90,"61-90","90+")))))</f>
        <v>Not due</v>
      </c>
      <c r="L176" s="5" t="s">
        <v>444</v>
      </c>
      <c r="M176" s="10" t="n">
        <v>46318</v>
      </c>
    </row>
    <row r="177" customFormat="false" ht="15" hidden="false" customHeight="false" outlineLevel="0" collapsed="false">
      <c r="A177" s="5" t="s">
        <v>16</v>
      </c>
      <c r="B177" s="5" t="s">
        <v>17</v>
      </c>
      <c r="C177" s="5" t="s">
        <v>449</v>
      </c>
      <c r="D177" s="5" t="s">
        <v>62</v>
      </c>
      <c r="E177" s="5" t="s">
        <v>450</v>
      </c>
      <c r="F177" s="5" t="s">
        <v>438</v>
      </c>
      <c r="G177" s="10" t="n">
        <v>46304</v>
      </c>
      <c r="H177" s="10" t="n">
        <v>46334</v>
      </c>
      <c r="I177" s="6" t="n">
        <v>89.38</v>
      </c>
      <c r="J177" s="5" t="n">
        <f aca="false">IF(H177="","",MAX(0,Summary!$B$2-H177))</f>
        <v>0</v>
      </c>
      <c r="K177" s="5" t="str">
        <f aca="false">IF(J177="","No due date",IF(J177=0,"Not due",IF(J177&lt;=30,"1-30",IF(J177&lt;=60,"31-60",IF(J177&lt;=90,"61-90","90+")))))</f>
        <v>Not due</v>
      </c>
      <c r="L177" s="5"/>
      <c r="M177" s="10" t="n">
        <v>46318</v>
      </c>
    </row>
    <row r="178" customFormat="false" ht="15" hidden="false" customHeight="false" outlineLevel="0" collapsed="false">
      <c r="A178" s="5" t="s">
        <v>16</v>
      </c>
      <c r="B178" s="5" t="s">
        <v>17</v>
      </c>
      <c r="C178" s="5" t="s">
        <v>451</v>
      </c>
      <c r="D178" s="5" t="s">
        <v>452</v>
      </c>
      <c r="E178" s="5" t="s">
        <v>450</v>
      </c>
      <c r="F178" s="5" t="s">
        <v>438</v>
      </c>
      <c r="G178" s="10" t="n">
        <v>46314</v>
      </c>
      <c r="H178" s="10" t="n">
        <v>46344</v>
      </c>
      <c r="I178" s="6" t="n">
        <v>-89.38</v>
      </c>
      <c r="J178" s="5" t="n">
        <f aca="false">IF(H178="","",MAX(0,Summary!$B$2-H178))</f>
        <v>0</v>
      </c>
      <c r="K178" s="5" t="str">
        <f aca="false">IF(J178="","No due date",IF(J178=0,"Not due",IF(J178&lt;=30,"1-30",IF(J178&lt;=60,"31-60",IF(J178&lt;=90,"61-90","90+")))))</f>
        <v>Not due</v>
      </c>
      <c r="L178" s="5"/>
      <c r="M178" s="10" t="n">
        <v>46318</v>
      </c>
    </row>
    <row r="179" customFormat="false" ht="15" hidden="false" customHeight="false" outlineLevel="0" collapsed="false">
      <c r="A179" s="5" t="s">
        <v>21</v>
      </c>
      <c r="B179" s="5" t="s">
        <v>22</v>
      </c>
      <c r="C179" s="5" t="s">
        <v>453</v>
      </c>
      <c r="D179" s="5" t="s">
        <v>62</v>
      </c>
      <c r="E179" s="5" t="s">
        <v>454</v>
      </c>
      <c r="F179" s="5" t="s">
        <v>455</v>
      </c>
      <c r="G179" s="10" t="n">
        <v>46265</v>
      </c>
      <c r="H179" s="10" t="n">
        <v>46295</v>
      </c>
      <c r="I179" s="6" t="n">
        <v>1662.33</v>
      </c>
      <c r="J179" s="5" t="n">
        <f aca="false">IF(H179="","",MAX(0,Summary!$B$2-H179))</f>
        <v>23</v>
      </c>
      <c r="K179" s="5" t="str">
        <f aca="false">IF(J179="","No due date",IF(J179=0,"Not due",IF(J179&lt;=30,"1-30",IF(J179&lt;=60,"31-60",IF(J179&lt;=90,"61-90","90+")))))</f>
        <v>1-30</v>
      </c>
      <c r="L179" s="5" t="s">
        <v>456</v>
      </c>
      <c r="M179" s="10" t="n">
        <v>46318</v>
      </c>
    </row>
    <row r="180" customFormat="false" ht="15" hidden="false" customHeight="false" outlineLevel="0" collapsed="false">
      <c r="A180" s="5" t="s">
        <v>21</v>
      </c>
      <c r="B180" s="5" t="s">
        <v>22</v>
      </c>
      <c r="C180" s="5" t="s">
        <v>457</v>
      </c>
      <c r="D180" s="5" t="s">
        <v>62</v>
      </c>
      <c r="E180" s="5" t="s">
        <v>458</v>
      </c>
      <c r="F180" s="5" t="s">
        <v>455</v>
      </c>
      <c r="G180" s="10" t="n">
        <v>46297</v>
      </c>
      <c r="H180" s="10" t="n">
        <v>46356</v>
      </c>
      <c r="I180" s="6" t="n">
        <v>23.76</v>
      </c>
      <c r="J180" s="5" t="n">
        <f aca="false">IF(H180="","",MAX(0,Summary!$B$2-H180))</f>
        <v>0</v>
      </c>
      <c r="K180" s="5" t="str">
        <f aca="false">IF(J180="","No due date",IF(J180=0,"Not due",IF(J180&lt;=30,"1-30",IF(J180&lt;=60,"31-60",IF(J180&lt;=90,"61-90","90+")))))</f>
        <v>Not due</v>
      </c>
      <c r="L180" s="5" t="s">
        <v>459</v>
      </c>
      <c r="M180" s="10" t="n">
        <v>46318</v>
      </c>
    </row>
    <row r="181" customFormat="false" ht="15" hidden="false" customHeight="false" outlineLevel="0" collapsed="false">
      <c r="A181" s="5" t="s">
        <v>21</v>
      </c>
      <c r="B181" s="5" t="s">
        <v>22</v>
      </c>
      <c r="C181" s="5" t="s">
        <v>460</v>
      </c>
      <c r="D181" s="5" t="s">
        <v>62</v>
      </c>
      <c r="E181" s="5" t="s">
        <v>461</v>
      </c>
      <c r="F181" s="5" t="s">
        <v>462</v>
      </c>
      <c r="G181" s="10" t="n">
        <v>46316</v>
      </c>
      <c r="H181" s="10"/>
      <c r="I181" s="6" t="n">
        <v>67.98</v>
      </c>
      <c r="J181" s="5" t="str">
        <f aca="false">IF(H181="","",MAX(0,Summary!$B$2-H181))</f>
        <v/>
      </c>
      <c r="K181" s="5" t="str">
        <f aca="false">IF(J181="","No due date",IF(J181=0,"Not due",IF(J181&lt;=30,"1-30",IF(J181&lt;=60,"31-60",IF(J181&lt;=90,"61-90","90+")))))</f>
        <v>No due date</v>
      </c>
      <c r="L181" s="5"/>
      <c r="M181" s="10" t="n">
        <v>46318</v>
      </c>
    </row>
    <row r="182" customFormat="false" ht="15" hidden="false" customHeight="false" outlineLevel="0" collapsed="false">
      <c r="A182" s="5" t="s">
        <v>32</v>
      </c>
      <c r="B182" s="5"/>
      <c r="C182" s="5" t="s">
        <v>463</v>
      </c>
      <c r="D182" s="5" t="s">
        <v>62</v>
      </c>
      <c r="E182" s="5" t="s">
        <v>464</v>
      </c>
      <c r="F182" s="5" t="s">
        <v>465</v>
      </c>
      <c r="G182" s="10" t="n">
        <v>46303</v>
      </c>
      <c r="H182" s="10" t="n">
        <v>46356</v>
      </c>
      <c r="I182" s="6" t="n">
        <v>242.62</v>
      </c>
      <c r="J182" s="5" t="n">
        <f aca="false">IF(H182="","",MAX(0,Summary!$B$2-H182))</f>
        <v>0</v>
      </c>
      <c r="K182" s="5" t="str">
        <f aca="false">IF(J182="","No due date",IF(J182=0,"Not due",IF(J182&lt;=30,"1-30",IF(J182&lt;=60,"31-60",IF(J182&lt;=90,"61-90","90+")))))</f>
        <v>Not due</v>
      </c>
      <c r="L182" s="5" t="s">
        <v>456</v>
      </c>
      <c r="M182" s="10" t="n">
        <v>46318</v>
      </c>
    </row>
    <row r="183" customFormat="false" ht="15" hidden="false" customHeight="false" outlineLevel="0" collapsed="false">
      <c r="A183" s="5" t="s">
        <v>32</v>
      </c>
      <c r="B183" s="5"/>
      <c r="C183" s="5" t="s">
        <v>466</v>
      </c>
      <c r="D183" s="5" t="s">
        <v>62</v>
      </c>
      <c r="E183" s="5" t="s">
        <v>467</v>
      </c>
      <c r="F183" s="5" t="s">
        <v>465</v>
      </c>
      <c r="G183" s="10" t="n">
        <v>46303</v>
      </c>
      <c r="H183" s="10" t="n">
        <v>46356</v>
      </c>
      <c r="I183" s="6" t="n">
        <v>145</v>
      </c>
      <c r="J183" s="5" t="n">
        <f aca="false">IF(H183="","",MAX(0,Summary!$B$2-H183))</f>
        <v>0</v>
      </c>
      <c r="K183" s="5" t="str">
        <f aca="false">IF(J183="","No due date",IF(J183=0,"Not due",IF(J183&lt;=30,"1-30",IF(J183&lt;=60,"31-60",IF(J183&lt;=90,"61-90","90+")))))</f>
        <v>Not due</v>
      </c>
      <c r="L183" s="5" t="s">
        <v>456</v>
      </c>
      <c r="M183" s="10" t="n">
        <v>46318</v>
      </c>
    </row>
    <row r="184" customFormat="false" ht="15" hidden="false" customHeight="false" outlineLevel="0" collapsed="false">
      <c r="A184" s="5" t="s">
        <v>23</v>
      </c>
      <c r="B184" s="5" t="s">
        <v>24</v>
      </c>
      <c r="C184" s="5" t="s">
        <v>468</v>
      </c>
      <c r="D184" s="5" t="s">
        <v>162</v>
      </c>
      <c r="E184" s="5" t="s">
        <v>469</v>
      </c>
      <c r="F184" s="5" t="s">
        <v>470</v>
      </c>
      <c r="G184" s="10" t="n">
        <v>45992</v>
      </c>
      <c r="H184" s="10" t="n">
        <v>45992</v>
      </c>
      <c r="I184" s="6" t="n">
        <v>-78.09</v>
      </c>
      <c r="J184" s="5" t="n">
        <f aca="false">IF(H184="","",MAX(0,Summary!$B$2-H184))</f>
        <v>326</v>
      </c>
      <c r="K184" s="5" t="str">
        <f aca="false">IF(J184="","No due date",IF(J184=0,"Not due",IF(J184&lt;=30,"1-30",IF(J184&lt;=60,"31-60",IF(J184&lt;=90,"61-90","90+")))))</f>
        <v>90+</v>
      </c>
      <c r="L184" s="5" t="s">
        <v>471</v>
      </c>
      <c r="M184" s="10" t="n">
        <v>46318</v>
      </c>
    </row>
    <row r="185" customFormat="false" ht="15" hidden="false" customHeight="false" outlineLevel="0" collapsed="false">
      <c r="A185" s="5" t="s">
        <v>23</v>
      </c>
      <c r="B185" s="5" t="s">
        <v>24</v>
      </c>
      <c r="C185" s="5" t="s">
        <v>472</v>
      </c>
      <c r="D185" s="5" t="s">
        <v>162</v>
      </c>
      <c r="E185" s="5" t="s">
        <v>473</v>
      </c>
      <c r="F185" s="5" t="s">
        <v>474</v>
      </c>
      <c r="G185" s="10" t="n">
        <v>46258</v>
      </c>
      <c r="H185" s="10" t="n">
        <v>46258</v>
      </c>
      <c r="I185" s="6" t="n">
        <v>-347.86</v>
      </c>
      <c r="J185" s="5" t="n">
        <f aca="false">IF(H185="","",MAX(0,Summary!$B$2-H185))</f>
        <v>60</v>
      </c>
      <c r="K185" s="5" t="str">
        <f aca="false">IF(J185="","No due date",IF(J185=0,"Not due",IF(J185&lt;=30,"1-30",IF(J185&lt;=60,"31-60",IF(J185&lt;=90,"61-90","90+")))))</f>
        <v>31-60</v>
      </c>
      <c r="L185" s="5" t="s">
        <v>475</v>
      </c>
      <c r="M185" s="10" t="n">
        <v>46318</v>
      </c>
    </row>
    <row r="186" customFormat="false" ht="15" hidden="false" customHeight="false" outlineLevel="0" collapsed="false">
      <c r="A186" s="5" t="s">
        <v>23</v>
      </c>
      <c r="B186" s="5" t="s">
        <v>24</v>
      </c>
      <c r="C186" s="5" t="s">
        <v>476</v>
      </c>
      <c r="D186" s="5" t="s">
        <v>162</v>
      </c>
      <c r="E186" s="5" t="s">
        <v>477</v>
      </c>
      <c r="F186" s="5" t="s">
        <v>478</v>
      </c>
      <c r="G186" s="10" t="n">
        <v>46262</v>
      </c>
      <c r="H186" s="10" t="n">
        <v>46262</v>
      </c>
      <c r="I186" s="6" t="n">
        <v>-85.8</v>
      </c>
      <c r="J186" s="5" t="n">
        <f aca="false">IF(H186="","",MAX(0,Summary!$B$2-H186))</f>
        <v>56</v>
      </c>
      <c r="K186" s="5" t="str">
        <f aca="false">IF(J186="","No due date",IF(J186=0,"Not due",IF(J186&lt;=30,"1-30",IF(J186&lt;=60,"31-60",IF(J186&lt;=90,"61-90","90+")))))</f>
        <v>31-60</v>
      </c>
      <c r="L186" s="5" t="s">
        <v>475</v>
      </c>
      <c r="M186" s="10" t="n">
        <v>46318</v>
      </c>
    </row>
    <row r="187" customFormat="false" ht="15" hidden="false" customHeight="false" outlineLevel="0" collapsed="false">
      <c r="A187" s="5" t="s">
        <v>23</v>
      </c>
      <c r="B187" s="5" t="s">
        <v>24</v>
      </c>
      <c r="C187" s="5" t="s">
        <v>479</v>
      </c>
      <c r="D187" s="5" t="s">
        <v>62</v>
      </c>
      <c r="E187" s="5" t="s">
        <v>480</v>
      </c>
      <c r="F187" s="5" t="s">
        <v>481</v>
      </c>
      <c r="G187" s="10" t="n">
        <v>46294</v>
      </c>
      <c r="H187" s="10" t="n">
        <v>46294</v>
      </c>
      <c r="I187" s="6" t="n">
        <v>429.33</v>
      </c>
      <c r="J187" s="5" t="n">
        <f aca="false">IF(H187="","",MAX(0,Summary!$B$2-H187))</f>
        <v>24</v>
      </c>
      <c r="K187" s="5" t="str">
        <f aca="false">IF(J187="","No due date",IF(J187=0,"Not due",IF(J187&lt;=30,"1-30",IF(J187&lt;=60,"31-60",IF(J187&lt;=90,"61-90","90+")))))</f>
        <v>1-30</v>
      </c>
      <c r="L187" s="5" t="s">
        <v>482</v>
      </c>
      <c r="M187" s="10" t="n">
        <v>46318</v>
      </c>
    </row>
    <row r="188" customFormat="false" ht="15" hidden="false" customHeight="false" outlineLevel="0" collapsed="false">
      <c r="A188" s="5" t="s">
        <v>23</v>
      </c>
      <c r="B188" s="5" t="s">
        <v>24</v>
      </c>
      <c r="C188" s="5" t="s">
        <v>483</v>
      </c>
      <c r="D188" s="5" t="s">
        <v>62</v>
      </c>
      <c r="E188" s="5" t="s">
        <v>484</v>
      </c>
      <c r="F188" s="5" t="s">
        <v>485</v>
      </c>
      <c r="G188" s="10" t="n">
        <v>46295</v>
      </c>
      <c r="H188" s="10" t="n">
        <v>46295</v>
      </c>
      <c r="I188" s="6" t="n">
        <v>856.67</v>
      </c>
      <c r="J188" s="5" t="n">
        <f aca="false">IF(H188="","",MAX(0,Summary!$B$2-H188))</f>
        <v>23</v>
      </c>
      <c r="K188" s="5" t="str">
        <f aca="false">IF(J188="","No due date",IF(J188=0,"Not due",IF(J188&lt;=30,"1-30",IF(J188&lt;=60,"31-60",IF(J188&lt;=90,"61-90","90+")))))</f>
        <v>1-30</v>
      </c>
      <c r="L188" s="5" t="s">
        <v>486</v>
      </c>
      <c r="M188" s="10" t="n">
        <v>46318</v>
      </c>
    </row>
    <row r="189" customFormat="false" ht="15" hidden="false" customHeight="false" outlineLevel="0" collapsed="false">
      <c r="A189" s="5" t="s">
        <v>23</v>
      </c>
      <c r="B189" s="5" t="s">
        <v>24</v>
      </c>
      <c r="C189" s="5" t="s">
        <v>487</v>
      </c>
      <c r="D189" s="5" t="s">
        <v>62</v>
      </c>
      <c r="E189" s="5" t="s">
        <v>488</v>
      </c>
      <c r="F189" s="5" t="s">
        <v>489</v>
      </c>
      <c r="G189" s="10" t="n">
        <v>46315</v>
      </c>
      <c r="H189" s="10" t="n">
        <v>46315</v>
      </c>
      <c r="I189" s="6" t="n">
        <v>11</v>
      </c>
      <c r="J189" s="5" t="n">
        <f aca="false">IF(H189="","",MAX(0,Summary!$B$2-H189))</f>
        <v>3</v>
      </c>
      <c r="K189" s="5" t="str">
        <f aca="false">IF(J189="","No due date",IF(J189=0,"Not due",IF(J189&lt;=30,"1-30",IF(J189&lt;=60,"31-60",IF(J189&lt;=90,"61-90","90+")))))</f>
        <v>1-30</v>
      </c>
      <c r="L189" s="5"/>
      <c r="M189" s="10" t="n">
        <v>46318</v>
      </c>
    </row>
    <row r="190" customFormat="false" ht="15" hidden="false" customHeight="false" outlineLevel="0" collapsed="false">
      <c r="A190" s="5" t="s">
        <v>23</v>
      </c>
      <c r="B190" s="5" t="s">
        <v>24</v>
      </c>
      <c r="C190" s="5" t="s">
        <v>490</v>
      </c>
      <c r="D190" s="5" t="s">
        <v>62</v>
      </c>
      <c r="E190" s="5" t="s">
        <v>491</v>
      </c>
      <c r="F190" s="5" t="s">
        <v>492</v>
      </c>
      <c r="G190" s="10" t="n">
        <v>46316</v>
      </c>
      <c r="H190" s="10" t="n">
        <v>46316</v>
      </c>
      <c r="I190" s="6" t="n">
        <v>132.23</v>
      </c>
      <c r="J190" s="5" t="n">
        <f aca="false">IF(H190="","",MAX(0,Summary!$B$2-H190))</f>
        <v>2</v>
      </c>
      <c r="K190" s="5" t="str">
        <f aca="false">IF(J190="","No due date",IF(J190=0,"Not due",IF(J190&lt;=30,"1-30",IF(J190&lt;=60,"31-60",IF(J190&lt;=90,"61-90","90+")))))</f>
        <v>1-30</v>
      </c>
      <c r="L190" s="5"/>
      <c r="M190" s="10" t="n">
        <v>46318</v>
      </c>
    </row>
    <row r="191" customFormat="false" ht="15" hidden="false" customHeight="false" outlineLevel="0" collapsed="false">
      <c r="A191" s="5" t="s">
        <v>23</v>
      </c>
      <c r="B191" s="5" t="s">
        <v>24</v>
      </c>
      <c r="C191" s="5" t="s">
        <v>493</v>
      </c>
      <c r="D191" s="5" t="s">
        <v>62</v>
      </c>
      <c r="E191" s="5" t="s">
        <v>494</v>
      </c>
      <c r="F191" s="5" t="s">
        <v>495</v>
      </c>
      <c r="G191" s="10" t="n">
        <v>46316</v>
      </c>
      <c r="H191" s="10" t="n">
        <v>46316</v>
      </c>
      <c r="I191" s="6" t="n">
        <v>187.75</v>
      </c>
      <c r="J191" s="5" t="n">
        <f aca="false">IF(H191="","",MAX(0,Summary!$B$2-H191))</f>
        <v>2</v>
      </c>
      <c r="K191" s="5" t="str">
        <f aca="false">IF(J191="","No due date",IF(J191=0,"Not due",IF(J191&lt;=30,"1-30",IF(J191&lt;=60,"31-60",IF(J191&lt;=90,"61-90","90+")))))</f>
        <v>1-30</v>
      </c>
      <c r="L191" s="5"/>
      <c r="M191" s="10" t="n">
        <v>46318</v>
      </c>
    </row>
    <row r="192" customFormat="false" ht="15" hidden="false" customHeight="false" outlineLevel="0" collapsed="false">
      <c r="A192" s="5" t="s">
        <v>23</v>
      </c>
      <c r="B192" s="5" t="s">
        <v>24</v>
      </c>
      <c r="C192" s="5" t="s">
        <v>496</v>
      </c>
      <c r="D192" s="5" t="s">
        <v>62</v>
      </c>
      <c r="E192" s="5" t="s">
        <v>497</v>
      </c>
      <c r="F192" s="5" t="s">
        <v>498</v>
      </c>
      <c r="G192" s="10" t="n">
        <v>46316</v>
      </c>
      <c r="H192" s="10" t="n">
        <v>46316</v>
      </c>
      <c r="I192" s="6" t="n">
        <v>45.17</v>
      </c>
      <c r="J192" s="5" t="n">
        <f aca="false">IF(H192="","",MAX(0,Summary!$B$2-H192))</f>
        <v>2</v>
      </c>
      <c r="K192" s="5" t="str">
        <f aca="false">IF(J192="","No due date",IF(J192=0,"Not due",IF(J192&lt;=30,"1-30",IF(J192&lt;=60,"31-60",IF(J192&lt;=90,"61-90","90+")))))</f>
        <v>1-30</v>
      </c>
      <c r="L192" s="5"/>
      <c r="M192" s="10" t="n">
        <v>46318</v>
      </c>
    </row>
    <row r="193" customFormat="false" ht="15" hidden="false" customHeight="false" outlineLevel="0" collapsed="false">
      <c r="A193" s="5" t="s">
        <v>23</v>
      </c>
      <c r="B193" s="5" t="s">
        <v>24</v>
      </c>
      <c r="C193" s="5" t="s">
        <v>499</v>
      </c>
      <c r="D193" s="5" t="s">
        <v>62</v>
      </c>
      <c r="E193" s="5" t="s">
        <v>500</v>
      </c>
      <c r="F193" s="5" t="s">
        <v>501</v>
      </c>
      <c r="G193" s="10" t="n">
        <v>46316</v>
      </c>
      <c r="H193" s="10" t="n">
        <v>46316</v>
      </c>
      <c r="I193" s="6" t="n">
        <v>8</v>
      </c>
      <c r="J193" s="5" t="n">
        <f aca="false">IF(H193="","",MAX(0,Summary!$B$2-H193))</f>
        <v>2</v>
      </c>
      <c r="K193" s="5" t="str">
        <f aca="false">IF(J193="","No due date",IF(J193=0,"Not due",IF(J193&lt;=30,"1-30",IF(J193&lt;=60,"31-60",IF(J193&lt;=90,"61-90","90+")))))</f>
        <v>1-30</v>
      </c>
      <c r="L193" s="5"/>
      <c r="M193" s="10" t="n">
        <v>46318</v>
      </c>
    </row>
    <row r="194" customFormat="false" ht="15" hidden="false" customHeight="false" outlineLevel="0" collapsed="false">
      <c r="A194" s="5" t="s">
        <v>30</v>
      </c>
      <c r="B194" s="5" t="s">
        <v>31</v>
      </c>
      <c r="C194" s="5" t="s">
        <v>502</v>
      </c>
      <c r="D194" s="5" t="s">
        <v>452</v>
      </c>
      <c r="E194" s="5" t="s">
        <v>503</v>
      </c>
      <c r="F194" s="5" t="s">
        <v>504</v>
      </c>
      <c r="G194" s="10" t="n">
        <v>45960</v>
      </c>
      <c r="H194" s="10" t="n">
        <v>45991</v>
      </c>
      <c r="I194" s="6" t="n">
        <v>-3262.2</v>
      </c>
      <c r="J194" s="5" t="n">
        <f aca="false">IF(H194="","",MAX(0,Summary!$B$2-H194))</f>
        <v>327</v>
      </c>
      <c r="K194" s="5" t="str">
        <f aca="false">IF(J194="","No due date",IF(J194=0,"Not due",IF(J194&lt;=30,"1-30",IF(J194&lt;=60,"31-60",IF(J194&lt;=90,"61-90","90+")))))</f>
        <v>90+</v>
      </c>
      <c r="L194" s="5"/>
      <c r="M194" s="10" t="n">
        <v>46318</v>
      </c>
    </row>
    <row r="195" customFormat="false" ht="15" hidden="false" customHeight="false" outlineLevel="0" collapsed="false">
      <c r="A195" s="5" t="s">
        <v>30</v>
      </c>
      <c r="B195" s="5" t="s">
        <v>31</v>
      </c>
      <c r="C195" s="5" t="s">
        <v>505</v>
      </c>
      <c r="D195" s="5" t="s">
        <v>62</v>
      </c>
      <c r="E195" s="5" t="s">
        <v>506</v>
      </c>
      <c r="F195" s="5" t="s">
        <v>507</v>
      </c>
      <c r="G195" s="10" t="n">
        <v>46142</v>
      </c>
      <c r="H195" s="10" t="n">
        <v>46173</v>
      </c>
      <c r="I195" s="6" t="n">
        <v>616.19</v>
      </c>
      <c r="J195" s="5" t="n">
        <f aca="false">IF(H195="","",MAX(0,Summary!$B$2-H195))</f>
        <v>145</v>
      </c>
      <c r="K195" s="5" t="str">
        <f aca="false">IF(J195="","No due date",IF(J195=0,"Not due",IF(J195&lt;=30,"1-30",IF(J195&lt;=60,"31-60",IF(J195&lt;=90,"61-90","90+")))))</f>
        <v>90+</v>
      </c>
      <c r="L195" s="5" t="s">
        <v>456</v>
      </c>
      <c r="M195" s="10" t="n">
        <v>46318</v>
      </c>
    </row>
    <row r="196" customFormat="false" ht="15" hidden="false" customHeight="false" outlineLevel="0" collapsed="false">
      <c r="A196" s="5" t="s">
        <v>30</v>
      </c>
      <c r="B196" s="5" t="s">
        <v>31</v>
      </c>
      <c r="C196" s="5" t="s">
        <v>508</v>
      </c>
      <c r="D196" s="5" t="s">
        <v>62</v>
      </c>
      <c r="E196" s="5" t="s">
        <v>509</v>
      </c>
      <c r="F196" s="5" t="s">
        <v>507</v>
      </c>
      <c r="G196" s="10" t="n">
        <v>46163</v>
      </c>
      <c r="H196" s="10" t="n">
        <v>46203</v>
      </c>
      <c r="I196" s="6" t="n">
        <v>409.2</v>
      </c>
      <c r="J196" s="5" t="n">
        <f aca="false">IF(H196="","",MAX(0,Summary!$B$2-H196))</f>
        <v>115</v>
      </c>
      <c r="K196" s="5" t="str">
        <f aca="false">IF(J196="","No due date",IF(J196=0,"Not due",IF(J196&lt;=30,"1-30",IF(J196&lt;=60,"31-60",IF(J196&lt;=90,"61-90","90+")))))</f>
        <v>90+</v>
      </c>
      <c r="L196" s="5" t="s">
        <v>456</v>
      </c>
      <c r="M196" s="10" t="n">
        <v>46318</v>
      </c>
    </row>
    <row r="197" customFormat="false" ht="15" hidden="false" customHeight="false" outlineLevel="0" collapsed="false">
      <c r="A197" s="5" t="s">
        <v>30</v>
      </c>
      <c r="B197" s="5" t="s">
        <v>31</v>
      </c>
      <c r="C197" s="5" t="s">
        <v>510</v>
      </c>
      <c r="D197" s="5" t="s">
        <v>62</v>
      </c>
      <c r="E197" s="5" t="s">
        <v>511</v>
      </c>
      <c r="F197" s="5" t="s">
        <v>504</v>
      </c>
      <c r="G197" s="10" t="n">
        <v>46172</v>
      </c>
      <c r="H197" s="10" t="n">
        <v>46203</v>
      </c>
      <c r="I197" s="6" t="n">
        <v>176</v>
      </c>
      <c r="J197" s="5" t="n">
        <f aca="false">IF(H197="","",MAX(0,Summary!$B$2-H197))</f>
        <v>115</v>
      </c>
      <c r="K197" s="5" t="str">
        <f aca="false">IF(J197="","No due date",IF(J197=0,"Not due",IF(J197&lt;=30,"1-30",IF(J197&lt;=60,"31-60",IF(J197&lt;=90,"61-90","90+")))))</f>
        <v>90+</v>
      </c>
      <c r="L197" s="5" t="s">
        <v>456</v>
      </c>
      <c r="M197" s="10" t="n">
        <v>46318</v>
      </c>
    </row>
    <row r="198" customFormat="false" ht="15" hidden="false" customHeight="false" outlineLevel="0" collapsed="false">
      <c r="A198" s="5" t="s">
        <v>30</v>
      </c>
      <c r="B198" s="5" t="s">
        <v>31</v>
      </c>
      <c r="C198" s="5" t="s">
        <v>512</v>
      </c>
      <c r="D198" s="5" t="s">
        <v>62</v>
      </c>
      <c r="E198" s="5" t="s">
        <v>513</v>
      </c>
      <c r="F198" s="5" t="s">
        <v>507</v>
      </c>
      <c r="G198" s="10" t="n">
        <v>46197</v>
      </c>
      <c r="H198" s="10" t="n">
        <v>46234</v>
      </c>
      <c r="I198" s="6" t="n">
        <v>95.7</v>
      </c>
      <c r="J198" s="5" t="n">
        <f aca="false">IF(H198="","",MAX(0,Summary!$B$2-H198))</f>
        <v>84</v>
      </c>
      <c r="K198" s="5" t="str">
        <f aca="false">IF(J198="","No due date",IF(J198=0,"Not due",IF(J198&lt;=30,"1-30",IF(J198&lt;=60,"31-60",IF(J198&lt;=90,"61-90","90+")))))</f>
        <v>61-90</v>
      </c>
      <c r="L198" s="5" t="s">
        <v>456</v>
      </c>
      <c r="M198" s="10" t="n">
        <v>46318</v>
      </c>
    </row>
    <row r="199" customFormat="false" ht="15" hidden="false" customHeight="false" outlineLevel="0" collapsed="false">
      <c r="A199" s="5" t="s">
        <v>30</v>
      </c>
      <c r="B199" s="5" t="s">
        <v>31</v>
      </c>
      <c r="C199" s="5" t="s">
        <v>514</v>
      </c>
      <c r="D199" s="5" t="s">
        <v>62</v>
      </c>
      <c r="E199" s="5" t="s">
        <v>515</v>
      </c>
      <c r="F199" s="5" t="s">
        <v>516</v>
      </c>
      <c r="G199" s="10" t="n">
        <v>46230</v>
      </c>
      <c r="H199" s="10" t="n">
        <v>46265</v>
      </c>
      <c r="I199" s="6" t="n">
        <v>148.5</v>
      </c>
      <c r="J199" s="5" t="n">
        <f aca="false">IF(H199="","",MAX(0,Summary!$B$2-H199))</f>
        <v>53</v>
      </c>
      <c r="K199" s="5" t="str">
        <f aca="false">IF(J199="","No due date",IF(J199=0,"Not due",IF(J199&lt;=30,"1-30",IF(J199&lt;=60,"31-60",IF(J199&lt;=90,"61-90","90+")))))</f>
        <v>31-60</v>
      </c>
      <c r="L199" s="5" t="s">
        <v>456</v>
      </c>
      <c r="M199" s="10" t="n">
        <v>46318</v>
      </c>
    </row>
    <row r="200" customFormat="false" ht="15" hidden="false" customHeight="false" outlineLevel="0" collapsed="false">
      <c r="A200" s="5" t="s">
        <v>30</v>
      </c>
      <c r="B200" s="5" t="s">
        <v>31</v>
      </c>
      <c r="C200" s="5" t="s">
        <v>517</v>
      </c>
      <c r="D200" s="5" t="s">
        <v>62</v>
      </c>
      <c r="E200" s="5" t="s">
        <v>518</v>
      </c>
      <c r="F200" s="5" t="s">
        <v>519</v>
      </c>
      <c r="G200" s="10" t="n">
        <v>46230</v>
      </c>
      <c r="H200" s="10" t="n">
        <v>46265</v>
      </c>
      <c r="I200" s="6" t="n">
        <v>199.1</v>
      </c>
      <c r="J200" s="5" t="n">
        <f aca="false">IF(H200="","",MAX(0,Summary!$B$2-H200))</f>
        <v>53</v>
      </c>
      <c r="K200" s="5" t="str">
        <f aca="false">IF(J200="","No due date",IF(J200=0,"Not due",IF(J200&lt;=30,"1-30",IF(J200&lt;=60,"31-60",IF(J200&lt;=90,"61-90","90+")))))</f>
        <v>31-60</v>
      </c>
      <c r="L200" s="5" t="s">
        <v>456</v>
      </c>
      <c r="M200" s="10" t="n">
        <v>46318</v>
      </c>
    </row>
    <row r="201" customFormat="false" ht="15" hidden="false" customHeight="false" outlineLevel="0" collapsed="false">
      <c r="A201" s="5" t="s">
        <v>30</v>
      </c>
      <c r="B201" s="5" t="s">
        <v>31</v>
      </c>
      <c r="C201" s="5" t="s">
        <v>520</v>
      </c>
      <c r="D201" s="5" t="s">
        <v>62</v>
      </c>
      <c r="E201" s="5" t="s">
        <v>521</v>
      </c>
      <c r="F201" s="5" t="s">
        <v>504</v>
      </c>
      <c r="G201" s="10" t="n">
        <v>46230</v>
      </c>
      <c r="H201" s="10" t="n">
        <v>46265</v>
      </c>
      <c r="I201" s="6" t="n">
        <v>147.4</v>
      </c>
      <c r="J201" s="5" t="n">
        <f aca="false">IF(H201="","",MAX(0,Summary!$B$2-H201))</f>
        <v>53</v>
      </c>
      <c r="K201" s="5" t="str">
        <f aca="false">IF(J201="","No due date",IF(J201=0,"Not due",IF(J201&lt;=30,"1-30",IF(J201&lt;=60,"31-60",IF(J201&lt;=90,"61-90","90+")))))</f>
        <v>31-60</v>
      </c>
      <c r="L201" s="5" t="s">
        <v>456</v>
      </c>
      <c r="M201" s="10" t="n">
        <v>46318</v>
      </c>
    </row>
    <row r="202" customFormat="false" ht="15" hidden="false" customHeight="false" outlineLevel="0" collapsed="false">
      <c r="A202" s="5" t="s">
        <v>30</v>
      </c>
      <c r="B202" s="5" t="s">
        <v>31</v>
      </c>
      <c r="C202" s="5" t="s">
        <v>522</v>
      </c>
      <c r="D202" s="5" t="s">
        <v>62</v>
      </c>
      <c r="E202" s="5" t="s">
        <v>523</v>
      </c>
      <c r="F202" s="5" t="s">
        <v>507</v>
      </c>
      <c r="G202" s="10" t="n">
        <v>46230</v>
      </c>
      <c r="H202" s="10" t="n">
        <v>46265</v>
      </c>
      <c r="I202" s="6" t="n">
        <v>77</v>
      </c>
      <c r="J202" s="5" t="n">
        <f aca="false">IF(H202="","",MAX(0,Summary!$B$2-H202))</f>
        <v>53</v>
      </c>
      <c r="K202" s="5" t="str">
        <f aca="false">IF(J202="","No due date",IF(J202=0,"Not due",IF(J202&lt;=30,"1-30",IF(J202&lt;=60,"31-60",IF(J202&lt;=90,"61-90","90+")))))</f>
        <v>31-60</v>
      </c>
      <c r="L202" s="5" t="s">
        <v>456</v>
      </c>
      <c r="M202" s="10" t="n">
        <v>46318</v>
      </c>
    </row>
    <row r="203" customFormat="false" ht="15" hidden="false" customHeight="false" outlineLevel="0" collapsed="false">
      <c r="A203" s="5" t="s">
        <v>30</v>
      </c>
      <c r="B203" s="5" t="s">
        <v>31</v>
      </c>
      <c r="C203" s="5" t="s">
        <v>524</v>
      </c>
      <c r="D203" s="5" t="s">
        <v>62</v>
      </c>
      <c r="E203" s="5" t="s">
        <v>525</v>
      </c>
      <c r="F203" s="5" t="s">
        <v>507</v>
      </c>
      <c r="G203" s="10" t="n">
        <v>46230</v>
      </c>
      <c r="H203" s="10" t="n">
        <v>46265</v>
      </c>
      <c r="I203" s="6" t="n">
        <v>95.7</v>
      </c>
      <c r="J203" s="5" t="n">
        <f aca="false">IF(H203="","",MAX(0,Summary!$B$2-H203))</f>
        <v>53</v>
      </c>
      <c r="K203" s="5" t="str">
        <f aca="false">IF(J203="","No due date",IF(J203=0,"Not due",IF(J203&lt;=30,"1-30",IF(J203&lt;=60,"31-60",IF(J203&lt;=90,"61-90","90+")))))</f>
        <v>31-60</v>
      </c>
      <c r="L203" s="5" t="s">
        <v>456</v>
      </c>
      <c r="M203" s="10" t="n">
        <v>46318</v>
      </c>
    </row>
    <row r="204" customFormat="false" ht="15" hidden="false" customHeight="false" outlineLevel="0" collapsed="false">
      <c r="A204" s="5" t="s">
        <v>30</v>
      </c>
      <c r="B204" s="5" t="s">
        <v>31</v>
      </c>
      <c r="C204" s="5" t="s">
        <v>526</v>
      </c>
      <c r="D204" s="5" t="s">
        <v>62</v>
      </c>
      <c r="E204" s="5" t="s">
        <v>527</v>
      </c>
      <c r="F204" s="5" t="s">
        <v>528</v>
      </c>
      <c r="G204" s="10" t="n">
        <v>46284</v>
      </c>
      <c r="H204" s="10" t="n">
        <v>46326</v>
      </c>
      <c r="I204" s="6" t="n">
        <v>66</v>
      </c>
      <c r="J204" s="5" t="n">
        <f aca="false">IF(H204="","",MAX(0,Summary!$B$2-H204))</f>
        <v>0</v>
      </c>
      <c r="K204" s="5" t="str">
        <f aca="false">IF(J204="","No due date",IF(J204=0,"Not due",IF(J204&lt;=30,"1-30",IF(J204&lt;=60,"31-60",IF(J204&lt;=90,"61-90","90+")))))</f>
        <v>Not due</v>
      </c>
      <c r="L204" s="5" t="s">
        <v>529</v>
      </c>
      <c r="M204" s="10" t="n">
        <v>46318</v>
      </c>
    </row>
    <row r="205" customFormat="false" ht="15" hidden="false" customHeight="false" outlineLevel="0" collapsed="false">
      <c r="A205" s="5" t="s">
        <v>30</v>
      </c>
      <c r="B205" s="5" t="s">
        <v>31</v>
      </c>
      <c r="C205" s="5" t="s">
        <v>530</v>
      </c>
      <c r="D205" s="5" t="s">
        <v>62</v>
      </c>
      <c r="E205" s="5" t="s">
        <v>531</v>
      </c>
      <c r="F205" s="5" t="s">
        <v>532</v>
      </c>
      <c r="G205" s="10" t="n">
        <v>46284</v>
      </c>
      <c r="H205" s="10" t="n">
        <v>46326</v>
      </c>
      <c r="I205" s="6" t="n">
        <v>4.43</v>
      </c>
      <c r="J205" s="5" t="n">
        <f aca="false">IF(H205="","",MAX(0,Summary!$B$2-H205))</f>
        <v>0</v>
      </c>
      <c r="K205" s="5" t="str">
        <f aca="false">IF(J205="","No due date",IF(J205=0,"Not due",IF(J205&lt;=30,"1-30",IF(J205&lt;=60,"31-60",IF(J205&lt;=90,"61-90","90+")))))</f>
        <v>Not due</v>
      </c>
      <c r="L205" s="5" t="s">
        <v>529</v>
      </c>
      <c r="M205" s="10" t="n">
        <v>46318</v>
      </c>
    </row>
    <row r="206" customFormat="false" ht="15" hidden="false" customHeight="false" outlineLevel="0" collapsed="false">
      <c r="A206" s="5" t="s">
        <v>30</v>
      </c>
      <c r="B206" s="5" t="s">
        <v>31</v>
      </c>
      <c r="C206" s="5" t="s">
        <v>533</v>
      </c>
      <c r="D206" s="5" t="s">
        <v>62</v>
      </c>
      <c r="E206" s="5" t="s">
        <v>534</v>
      </c>
      <c r="F206" s="5" t="s">
        <v>507</v>
      </c>
      <c r="G206" s="10" t="n">
        <v>46298</v>
      </c>
      <c r="H206" s="10" t="n">
        <v>46356</v>
      </c>
      <c r="I206" s="6" t="n">
        <v>1640.11</v>
      </c>
      <c r="J206" s="5" t="n">
        <f aca="false">IF(H206="","",MAX(0,Summary!$B$2-H206))</f>
        <v>0</v>
      </c>
      <c r="K206" s="5" t="str">
        <f aca="false">IF(J206="","No due date",IF(J206=0,"Not due",IF(J206&lt;=30,"1-30",IF(J206&lt;=60,"31-60",IF(J206&lt;=90,"61-90","90+")))))</f>
        <v>Not due</v>
      </c>
      <c r="L206" s="5" t="s">
        <v>529</v>
      </c>
      <c r="M206" s="10" t="n">
        <v>46318</v>
      </c>
    </row>
    <row r="207" customFormat="false" ht="15" hidden="false" customHeight="false" outlineLevel="0" collapsed="false">
      <c r="A207" s="5" t="s">
        <v>41</v>
      </c>
      <c r="B207" s="5"/>
      <c r="C207" s="5" t="s">
        <v>535</v>
      </c>
      <c r="D207" s="5" t="s">
        <v>452</v>
      </c>
      <c r="E207" s="5" t="s">
        <v>536</v>
      </c>
      <c r="F207" s="5" t="s">
        <v>537</v>
      </c>
      <c r="G207" s="10" t="n">
        <v>45703</v>
      </c>
      <c r="H207" s="10" t="n">
        <v>45747</v>
      </c>
      <c r="I207" s="6" t="n">
        <v>-4.65</v>
      </c>
      <c r="J207" s="5" t="n">
        <f aca="false">IF(H207="","",MAX(0,Summary!$B$2-H207))</f>
        <v>571</v>
      </c>
      <c r="K207" s="5" t="str">
        <f aca="false">IF(J207="","No due date",IF(J207=0,"Not due",IF(J207&lt;=30,"1-30",IF(J207&lt;=60,"31-60",IF(J207&lt;=90,"61-90","90+")))))</f>
        <v>90+</v>
      </c>
      <c r="L207" s="5" t="s">
        <v>538</v>
      </c>
      <c r="M207" s="10" t="n">
        <v>46316</v>
      </c>
    </row>
    <row r="208" customFormat="false" ht="15" hidden="false" customHeight="false" outlineLevel="0" collapsed="false">
      <c r="A208" s="5" t="s">
        <v>38</v>
      </c>
      <c r="B208" s="5"/>
      <c r="C208" s="5" t="s">
        <v>539</v>
      </c>
      <c r="D208" s="5" t="s">
        <v>62</v>
      </c>
      <c r="E208" s="5" t="s">
        <v>540</v>
      </c>
      <c r="F208" s="5" t="s">
        <v>541</v>
      </c>
      <c r="G208" s="10" t="n">
        <v>46276</v>
      </c>
      <c r="H208" s="10" t="n">
        <v>46326</v>
      </c>
      <c r="I208" s="6" t="n">
        <v>82.1</v>
      </c>
      <c r="J208" s="5" t="n">
        <f aca="false">IF(H208="","",MAX(0,Summary!$B$2-H208))</f>
        <v>0</v>
      </c>
      <c r="K208" s="5" t="str">
        <f aca="false">IF(J208="","No due date",IF(J208=0,"Not due",IF(J208&lt;=30,"1-30",IF(J208&lt;=60,"31-60",IF(J208&lt;=90,"61-90","90+")))))</f>
        <v>Not due</v>
      </c>
      <c r="L208" s="5" t="s">
        <v>444</v>
      </c>
      <c r="M208" s="10" t="n">
        <v>46316</v>
      </c>
    </row>
    <row r="209" customFormat="false" ht="15" hidden="false" customHeight="false" outlineLevel="0" collapsed="false">
      <c r="A209" s="5" t="s">
        <v>20</v>
      </c>
      <c r="B209" s="5"/>
      <c r="C209" s="5" t="s">
        <v>542</v>
      </c>
      <c r="D209" s="5" t="s">
        <v>62</v>
      </c>
      <c r="E209" s="5" t="s">
        <v>543</v>
      </c>
      <c r="F209" s="5" t="s">
        <v>544</v>
      </c>
      <c r="G209" s="10" t="n">
        <v>46252</v>
      </c>
      <c r="H209" s="10" t="n">
        <v>46295</v>
      </c>
      <c r="I209" s="6" t="n">
        <v>84.16</v>
      </c>
      <c r="J209" s="5" t="n">
        <f aca="false">IF(H209="","",MAX(0,Summary!$B$2-H209))</f>
        <v>23</v>
      </c>
      <c r="K209" s="5" t="str">
        <f aca="false">IF(J209="","No due date",IF(J209=0,"Not due",IF(J209&lt;=30,"1-30",IF(J209&lt;=60,"31-60",IF(J209&lt;=90,"61-90","90+")))))</f>
        <v>1-30</v>
      </c>
      <c r="L209" s="5" t="s">
        <v>482</v>
      </c>
      <c r="M209" s="10" t="n">
        <v>46318</v>
      </c>
    </row>
    <row r="210" customFormat="false" ht="15" hidden="false" customHeight="false" outlineLevel="0" collapsed="false">
      <c r="A210" s="5" t="s">
        <v>20</v>
      </c>
      <c r="B210" s="5"/>
      <c r="C210" s="5" t="s">
        <v>545</v>
      </c>
      <c r="D210" s="5" t="s">
        <v>62</v>
      </c>
      <c r="E210" s="5" t="s">
        <v>546</v>
      </c>
      <c r="F210" s="5" t="s">
        <v>544</v>
      </c>
      <c r="G210" s="10" t="n">
        <v>46258</v>
      </c>
      <c r="H210" s="10" t="n">
        <v>46295</v>
      </c>
      <c r="I210" s="6" t="n">
        <v>44.22</v>
      </c>
      <c r="J210" s="5" t="n">
        <f aca="false">IF(H210="","",MAX(0,Summary!$B$2-H210))</f>
        <v>23</v>
      </c>
      <c r="K210" s="5" t="str">
        <f aca="false">IF(J210="","No due date",IF(J210=0,"Not due",IF(J210&lt;=30,"1-30",IF(J210&lt;=60,"31-60",IF(J210&lt;=90,"61-90","90+")))))</f>
        <v>1-30</v>
      </c>
      <c r="L210" s="5" t="s">
        <v>482</v>
      </c>
      <c r="M210" s="10" t="n">
        <v>46318</v>
      </c>
    </row>
    <row r="211" customFormat="false" ht="15" hidden="false" customHeight="false" outlineLevel="0" collapsed="false">
      <c r="A211" s="5" t="s">
        <v>20</v>
      </c>
      <c r="B211" s="5"/>
      <c r="C211" s="5" t="s">
        <v>547</v>
      </c>
      <c r="D211" s="5" t="s">
        <v>62</v>
      </c>
      <c r="E211" s="5" t="s">
        <v>548</v>
      </c>
      <c r="F211" s="5" t="s">
        <v>544</v>
      </c>
      <c r="G211" s="10" t="n">
        <v>46265</v>
      </c>
      <c r="H211" s="10" t="n">
        <v>46295</v>
      </c>
      <c r="I211" s="6" t="n">
        <v>75.15</v>
      </c>
      <c r="J211" s="5" t="n">
        <f aca="false">IF(H211="","",MAX(0,Summary!$B$2-H211))</f>
        <v>23</v>
      </c>
      <c r="K211" s="5" t="str">
        <f aca="false">IF(J211="","No due date",IF(J211=0,"Not due",IF(J211&lt;=30,"1-30",IF(J211&lt;=60,"31-60",IF(J211&lt;=90,"61-90","90+")))))</f>
        <v>1-30</v>
      </c>
      <c r="L211" s="5" t="s">
        <v>482</v>
      </c>
      <c r="M211" s="10" t="n">
        <v>46318</v>
      </c>
    </row>
    <row r="212" customFormat="false" ht="15" hidden="false" customHeight="false" outlineLevel="0" collapsed="false">
      <c r="A212" s="5" t="s">
        <v>20</v>
      </c>
      <c r="B212" s="5"/>
      <c r="C212" s="5" t="s">
        <v>549</v>
      </c>
      <c r="D212" s="5" t="s">
        <v>62</v>
      </c>
      <c r="E212" s="5" t="s">
        <v>550</v>
      </c>
      <c r="F212" s="5" t="s">
        <v>551</v>
      </c>
      <c r="G212" s="10" t="n">
        <v>46265</v>
      </c>
      <c r="H212" s="10" t="n">
        <v>46295</v>
      </c>
      <c r="I212" s="6" t="n">
        <v>75.15</v>
      </c>
      <c r="J212" s="5" t="n">
        <f aca="false">IF(H212="","",MAX(0,Summary!$B$2-H212))</f>
        <v>23</v>
      </c>
      <c r="K212" s="5" t="str">
        <f aca="false">IF(J212="","No due date",IF(J212=0,"Not due",IF(J212&lt;=30,"1-30",IF(J212&lt;=60,"31-60",IF(J212&lt;=90,"61-90","90+")))))</f>
        <v>1-30</v>
      </c>
      <c r="L212" s="5" t="s">
        <v>482</v>
      </c>
      <c r="M212" s="10" t="n">
        <v>46318</v>
      </c>
    </row>
    <row r="213" customFormat="false" ht="15" hidden="false" customHeight="false" outlineLevel="0" collapsed="false">
      <c r="A213" s="5" t="s">
        <v>20</v>
      </c>
      <c r="B213" s="5"/>
      <c r="C213" s="5" t="s">
        <v>552</v>
      </c>
      <c r="D213" s="5" t="s">
        <v>62</v>
      </c>
      <c r="E213" s="5" t="s">
        <v>550</v>
      </c>
      <c r="F213" s="5" t="s">
        <v>551</v>
      </c>
      <c r="G213" s="10" t="n">
        <v>46274</v>
      </c>
      <c r="H213" s="10" t="n">
        <v>46326</v>
      </c>
      <c r="I213" s="6" t="n">
        <v>570.9</v>
      </c>
      <c r="J213" s="5" t="n">
        <f aca="false">IF(H213="","",MAX(0,Summary!$B$2-H213))</f>
        <v>0</v>
      </c>
      <c r="K213" s="5" t="str">
        <f aca="false">IF(J213="","No due date",IF(J213=0,"Not due",IF(J213&lt;=30,"1-30",IF(J213&lt;=60,"31-60",IF(J213&lt;=90,"61-90","90+")))))</f>
        <v>Not due</v>
      </c>
      <c r="L213" s="5" t="s">
        <v>482</v>
      </c>
      <c r="M213" s="10" t="n">
        <v>46318</v>
      </c>
    </row>
    <row r="214" customFormat="false" ht="15" hidden="false" customHeight="false" outlineLevel="0" collapsed="false">
      <c r="A214" s="5" t="s">
        <v>20</v>
      </c>
      <c r="B214" s="5"/>
      <c r="C214" s="5" t="s">
        <v>553</v>
      </c>
      <c r="D214" s="5" t="s">
        <v>62</v>
      </c>
      <c r="E214" s="5" t="s">
        <v>554</v>
      </c>
      <c r="F214" s="5" t="s">
        <v>544</v>
      </c>
      <c r="G214" s="10" t="n">
        <v>46293</v>
      </c>
      <c r="H214" s="10" t="n">
        <v>46326</v>
      </c>
      <c r="I214" s="6" t="n">
        <v>993.54</v>
      </c>
      <c r="J214" s="5" t="n">
        <f aca="false">IF(H214="","",MAX(0,Summary!$B$2-H214))</f>
        <v>0</v>
      </c>
      <c r="K214" s="5" t="str">
        <f aca="false">IF(J214="","No due date",IF(J214=0,"Not due",IF(J214&lt;=30,"1-30",IF(J214&lt;=60,"31-60",IF(J214&lt;=90,"61-90","90+")))))</f>
        <v>Not due</v>
      </c>
      <c r="L214" s="5" t="s">
        <v>444</v>
      </c>
      <c r="M214" s="10" t="n">
        <v>46318</v>
      </c>
    </row>
    <row r="215" customFormat="false" ht="15" hidden="false" customHeight="false" outlineLevel="0" collapsed="false">
      <c r="A215" s="5" t="s">
        <v>34</v>
      </c>
      <c r="B215" s="5"/>
      <c r="C215" s="5" t="s">
        <v>555</v>
      </c>
      <c r="D215" s="5" t="s">
        <v>62</v>
      </c>
      <c r="E215" s="5" t="s">
        <v>556</v>
      </c>
      <c r="F215" s="5" t="s">
        <v>557</v>
      </c>
      <c r="G215" s="10" t="n">
        <v>46287</v>
      </c>
      <c r="H215" s="10" t="n">
        <v>46326</v>
      </c>
      <c r="I215" s="6" t="n">
        <v>256.56</v>
      </c>
      <c r="J215" s="5" t="n">
        <f aca="false">IF(H215="","",MAX(0,Summary!$B$2-H215))</f>
        <v>0</v>
      </c>
      <c r="K215" s="5" t="str">
        <f aca="false">IF(J215="","No due date",IF(J215=0,"Not due",IF(J215&lt;=30,"1-30",IF(J215&lt;=60,"31-60",IF(J215&lt;=90,"61-90","90+")))))</f>
        <v>Not due</v>
      </c>
      <c r="L215" s="5" t="s">
        <v>444</v>
      </c>
      <c r="M215" s="10" t="n">
        <v>46316</v>
      </c>
    </row>
    <row r="216" customFormat="false" ht="15" hidden="false" customHeight="false" outlineLevel="0" collapsed="false">
      <c r="A216" s="5" t="s">
        <v>15</v>
      </c>
      <c r="B216" s="5"/>
      <c r="C216" s="5" t="s">
        <v>558</v>
      </c>
      <c r="D216" s="5" t="s">
        <v>62</v>
      </c>
      <c r="E216" s="5" t="s">
        <v>559</v>
      </c>
      <c r="F216" s="5" t="s">
        <v>560</v>
      </c>
      <c r="G216" s="10" t="n">
        <v>46314</v>
      </c>
      <c r="H216" s="10" t="n">
        <v>46356</v>
      </c>
      <c r="I216" s="6" t="n">
        <v>4956.19</v>
      </c>
      <c r="J216" s="5" t="n">
        <f aca="false">IF(H216="","",MAX(0,Summary!$B$2-H216))</f>
        <v>0</v>
      </c>
      <c r="K216" s="5" t="str">
        <f aca="false">IF(J216="","No due date",IF(J216=0,"Not due",IF(J216&lt;=30,"1-30",IF(J216&lt;=60,"31-60",IF(J216&lt;=90,"61-90","90+")))))</f>
        <v>Not due</v>
      </c>
      <c r="L216" s="5" t="s">
        <v>459</v>
      </c>
      <c r="M216" s="10" t="n">
        <v>46318</v>
      </c>
    </row>
    <row r="217" customFormat="false" ht="15" hidden="false" customHeight="false" outlineLevel="0" collapsed="false">
      <c r="A217" s="5" t="s">
        <v>33</v>
      </c>
      <c r="B217" s="5"/>
      <c r="C217" s="5" t="s">
        <v>561</v>
      </c>
      <c r="D217" s="5" t="s">
        <v>62</v>
      </c>
      <c r="E217" s="5" t="s">
        <v>562</v>
      </c>
      <c r="F217" s="5" t="s">
        <v>563</v>
      </c>
      <c r="G217" s="10" t="n">
        <v>46265</v>
      </c>
      <c r="H217" s="10" t="n">
        <v>46295</v>
      </c>
      <c r="I217" s="6" t="n">
        <v>111.1</v>
      </c>
      <c r="J217" s="5" t="n">
        <f aca="false">IF(H217="","",MAX(0,Summary!$B$2-H217))</f>
        <v>23</v>
      </c>
      <c r="K217" s="5" t="str">
        <f aca="false">IF(J217="","No due date",IF(J217=0,"Not due",IF(J217&lt;=30,"1-30",IF(J217&lt;=60,"31-60",IF(J217&lt;=90,"61-90","90+")))))</f>
        <v>1-30</v>
      </c>
      <c r="L217" s="5" t="s">
        <v>444</v>
      </c>
      <c r="M217" s="10" t="n">
        <v>46316</v>
      </c>
    </row>
    <row r="218" customFormat="false" ht="15" hidden="false" customHeight="false" outlineLevel="0" collapsed="false">
      <c r="A218" s="5" t="s">
        <v>33</v>
      </c>
      <c r="B218" s="5"/>
      <c r="C218" s="5" t="s">
        <v>564</v>
      </c>
      <c r="D218" s="5" t="s">
        <v>62</v>
      </c>
      <c r="E218" s="5" t="s">
        <v>565</v>
      </c>
      <c r="F218" s="5" t="s">
        <v>566</v>
      </c>
      <c r="G218" s="10" t="n">
        <v>46265</v>
      </c>
      <c r="H218" s="10" t="n">
        <v>46295</v>
      </c>
      <c r="I218" s="6" t="n">
        <v>73.96</v>
      </c>
      <c r="J218" s="5" t="n">
        <f aca="false">IF(H218="","",MAX(0,Summary!$B$2-H218))</f>
        <v>23</v>
      </c>
      <c r="K218" s="5" t="str">
        <f aca="false">IF(J218="","No due date",IF(J218=0,"Not due",IF(J218&lt;=30,"1-30",IF(J218&lt;=60,"31-60",IF(J218&lt;=90,"61-90","90+")))))</f>
        <v>1-30</v>
      </c>
      <c r="L218" s="5" t="s">
        <v>567</v>
      </c>
      <c r="M218" s="10" t="n">
        <v>46316</v>
      </c>
    </row>
    <row r="219" customFormat="false" ht="15" hidden="false" customHeight="false" outlineLevel="0" collapsed="false">
      <c r="A219" s="5" t="s">
        <v>33</v>
      </c>
      <c r="B219" s="5"/>
      <c r="C219" s="5" t="s">
        <v>568</v>
      </c>
      <c r="D219" s="5" t="s">
        <v>62</v>
      </c>
      <c r="E219" s="5" t="s">
        <v>569</v>
      </c>
      <c r="F219" s="5" t="s">
        <v>570</v>
      </c>
      <c r="G219" s="10" t="n">
        <v>46267</v>
      </c>
      <c r="H219" s="10" t="n">
        <v>46326</v>
      </c>
      <c r="I219" s="6" t="n">
        <v>111.1</v>
      </c>
      <c r="J219" s="5" t="n">
        <f aca="false">IF(H219="","",MAX(0,Summary!$B$2-H219))</f>
        <v>0</v>
      </c>
      <c r="K219" s="5" t="str">
        <f aca="false">IF(J219="","No due date",IF(J219=0,"Not due",IF(J219&lt;=30,"1-30",IF(J219&lt;=60,"31-60",IF(J219&lt;=90,"61-90","90+")))))</f>
        <v>Not due</v>
      </c>
      <c r="L219" s="5" t="s">
        <v>567</v>
      </c>
      <c r="M219" s="10" t="n">
        <v>46316</v>
      </c>
    </row>
    <row r="220" customFormat="false" ht="15" hidden="false" customHeight="false" outlineLevel="0" collapsed="false">
      <c r="A220" s="5" t="s">
        <v>37</v>
      </c>
      <c r="B220" s="5"/>
      <c r="C220" s="5" t="s">
        <v>571</v>
      </c>
      <c r="D220" s="5" t="s">
        <v>62</v>
      </c>
      <c r="E220" s="5" t="s">
        <v>572</v>
      </c>
      <c r="F220" s="5" t="s">
        <v>573</v>
      </c>
      <c r="G220" s="10" t="n">
        <v>46287</v>
      </c>
      <c r="H220" s="10" t="n">
        <v>46317</v>
      </c>
      <c r="I220" s="6" t="n">
        <v>121.48</v>
      </c>
      <c r="J220" s="5" t="n">
        <f aca="false">IF(H220="","",MAX(0,Summary!$B$2-H220))</f>
        <v>1</v>
      </c>
      <c r="K220" s="5" t="str">
        <f aca="false">IF(J220="","No due date",IF(J220=0,"Not due",IF(J220&lt;=30,"1-30",IF(J220&lt;=60,"31-60",IF(J220&lt;=90,"61-90","90+")))))</f>
        <v>1-30</v>
      </c>
      <c r="L220" s="5" t="s">
        <v>456</v>
      </c>
      <c r="M220" s="10" t="n">
        <v>46316</v>
      </c>
    </row>
    <row r="221" customFormat="false" ht="15" hidden="false" customHeight="false" outlineLevel="0" collapsed="false">
      <c r="A221" s="5" t="s">
        <v>18</v>
      </c>
      <c r="B221" s="5" t="s">
        <v>19</v>
      </c>
      <c r="C221" s="5" t="s">
        <v>574</v>
      </c>
      <c r="D221" s="5" t="s">
        <v>162</v>
      </c>
      <c r="E221" s="5"/>
      <c r="F221" s="5" t="s">
        <v>575</v>
      </c>
      <c r="G221" s="10" t="n">
        <v>45961</v>
      </c>
      <c r="H221" s="10" t="n">
        <v>45961</v>
      </c>
      <c r="I221" s="6" t="n">
        <v>-67.41</v>
      </c>
      <c r="J221" s="5" t="n">
        <f aca="false">IF(H221="","",MAX(0,Summary!$B$2-H221))</f>
        <v>357</v>
      </c>
      <c r="K221" s="5" t="str">
        <f aca="false">IF(J221="","No due date",IF(J221=0,"Not due",IF(J221&lt;=30,"1-30",IF(J221&lt;=60,"31-60",IF(J221&lt;=90,"61-90","90+")))))</f>
        <v>90+</v>
      </c>
      <c r="L221" s="5" t="s">
        <v>538</v>
      </c>
      <c r="M221" s="10" t="n">
        <v>46316</v>
      </c>
    </row>
    <row r="222" customFormat="false" ht="15" hidden="false" customHeight="false" outlineLevel="0" collapsed="false">
      <c r="A222" s="5" t="s">
        <v>18</v>
      </c>
      <c r="B222" s="5" t="s">
        <v>19</v>
      </c>
      <c r="C222" s="5" t="s">
        <v>576</v>
      </c>
      <c r="D222" s="5" t="s">
        <v>62</v>
      </c>
      <c r="E222" s="5" t="s">
        <v>577</v>
      </c>
      <c r="F222" s="5" t="s">
        <v>578</v>
      </c>
      <c r="G222" s="10" t="n">
        <v>46266</v>
      </c>
      <c r="H222" s="10" t="n">
        <v>46296</v>
      </c>
      <c r="I222" s="6" t="n">
        <v>1174.22</v>
      </c>
      <c r="J222" s="5" t="n">
        <f aca="false">IF(H222="","",MAX(0,Summary!$B$2-H222))</f>
        <v>22</v>
      </c>
      <c r="K222" s="5" t="str">
        <f aca="false">IF(J222="","No due date",IF(J222=0,"Not due",IF(J222&lt;=30,"1-30",IF(J222&lt;=60,"31-60",IF(J222&lt;=90,"61-90","90+")))))</f>
        <v>1-30</v>
      </c>
      <c r="L222" s="5" t="s">
        <v>579</v>
      </c>
      <c r="M222" s="10" t="n">
        <v>46316</v>
      </c>
    </row>
    <row r="223" customFormat="false" ht="15" hidden="false" customHeight="false" outlineLevel="0" collapsed="false">
      <c r="A223" s="5" t="s">
        <v>18</v>
      </c>
      <c r="B223" s="5" t="s">
        <v>19</v>
      </c>
      <c r="C223" s="5" t="s">
        <v>580</v>
      </c>
      <c r="D223" s="5" t="s">
        <v>62</v>
      </c>
      <c r="E223" s="5" t="s">
        <v>581</v>
      </c>
      <c r="F223" s="5" t="s">
        <v>582</v>
      </c>
      <c r="G223" s="10" t="n">
        <v>46267</v>
      </c>
      <c r="H223" s="10" t="n">
        <v>46297</v>
      </c>
      <c r="I223" s="6" t="n">
        <v>190.2</v>
      </c>
      <c r="J223" s="5" t="n">
        <f aca="false">IF(H223="","",MAX(0,Summary!$B$2-H223))</f>
        <v>21</v>
      </c>
      <c r="K223" s="5" t="str">
        <f aca="false">IF(J223="","No due date",IF(J223=0,"Not due",IF(J223&lt;=30,"1-30",IF(J223&lt;=60,"31-60",IF(J223&lt;=90,"61-90","90+")))))</f>
        <v>1-30</v>
      </c>
      <c r="L223" s="5" t="s">
        <v>579</v>
      </c>
      <c r="M223" s="10" t="n">
        <v>46316</v>
      </c>
    </row>
    <row r="224" customFormat="false" ht="15" hidden="false" customHeight="false" outlineLevel="0" collapsed="false">
      <c r="A224" s="5" t="s">
        <v>18</v>
      </c>
      <c r="B224" s="5" t="s">
        <v>19</v>
      </c>
      <c r="C224" s="5" t="s">
        <v>583</v>
      </c>
      <c r="D224" s="5" t="s">
        <v>62</v>
      </c>
      <c r="E224" s="5" t="s">
        <v>584</v>
      </c>
      <c r="F224" s="5" t="s">
        <v>585</v>
      </c>
      <c r="G224" s="10" t="n">
        <v>46277</v>
      </c>
      <c r="H224" s="10" t="n">
        <v>46307</v>
      </c>
      <c r="I224" s="6" t="n">
        <v>230.38</v>
      </c>
      <c r="J224" s="5" t="n">
        <f aca="false">IF(H224="","",MAX(0,Summary!$B$2-H224))</f>
        <v>11</v>
      </c>
      <c r="K224" s="5" t="str">
        <f aca="false">IF(J224="","No due date",IF(J224=0,"Not due",IF(J224&lt;=30,"1-30",IF(J224&lt;=60,"31-60",IF(J224&lt;=90,"61-90","90+")))))</f>
        <v>1-30</v>
      </c>
      <c r="L224" s="5" t="s">
        <v>579</v>
      </c>
      <c r="M224" s="10" t="n">
        <v>46316</v>
      </c>
    </row>
    <row r="225" customFormat="false" ht="15" hidden="false" customHeight="false" outlineLevel="0" collapsed="false">
      <c r="A225" s="5" t="s">
        <v>18</v>
      </c>
      <c r="B225" s="5" t="s">
        <v>19</v>
      </c>
      <c r="C225" s="5" t="s">
        <v>586</v>
      </c>
      <c r="D225" s="5" t="s">
        <v>62</v>
      </c>
      <c r="E225" s="5" t="s">
        <v>587</v>
      </c>
      <c r="F225" s="5" t="s">
        <v>588</v>
      </c>
      <c r="G225" s="10" t="n">
        <v>46287</v>
      </c>
      <c r="H225" s="10" t="n">
        <v>46317</v>
      </c>
      <c r="I225" s="6" t="n">
        <v>486.92</v>
      </c>
      <c r="J225" s="5" t="n">
        <f aca="false">IF(H225="","",MAX(0,Summary!$B$2-H225))</f>
        <v>1</v>
      </c>
      <c r="K225" s="5" t="str">
        <f aca="false">IF(J225="","No due date",IF(J225=0,"Not due",IF(J225&lt;=30,"1-30",IF(J225&lt;=60,"31-60",IF(J225&lt;=90,"61-90","90+")))))</f>
        <v>1-30</v>
      </c>
      <c r="L225" s="5" t="s">
        <v>444</v>
      </c>
      <c r="M225" s="10" t="n">
        <v>46316</v>
      </c>
    </row>
    <row r="226" customFormat="false" ht="15" hidden="false" customHeight="false" outlineLevel="0" collapsed="false">
      <c r="A226" s="5" t="s">
        <v>18</v>
      </c>
      <c r="B226" s="5" t="s">
        <v>19</v>
      </c>
      <c r="C226" s="5" t="s">
        <v>589</v>
      </c>
      <c r="D226" s="5" t="s">
        <v>62</v>
      </c>
      <c r="E226" s="5" t="s">
        <v>590</v>
      </c>
      <c r="F226" s="5" t="s">
        <v>585</v>
      </c>
      <c r="G226" s="10" t="n">
        <v>46295</v>
      </c>
      <c r="H226" s="10" t="n">
        <v>46325</v>
      </c>
      <c r="I226" s="6" t="n">
        <v>354.15</v>
      </c>
      <c r="J226" s="5" t="n">
        <f aca="false">IF(H226="","",MAX(0,Summary!$B$2-H226))</f>
        <v>0</v>
      </c>
      <c r="K226" s="5" t="str">
        <f aca="false">IF(J226="","No due date",IF(J226=0,"Not due",IF(J226&lt;=30,"1-30",IF(J226&lt;=60,"31-60",IF(J226&lt;=90,"61-90","90+")))))</f>
        <v>Not due</v>
      </c>
      <c r="L226" s="5" t="s">
        <v>444</v>
      </c>
      <c r="M226" s="10" t="n">
        <v>46316</v>
      </c>
    </row>
    <row r="227" customFormat="false" ht="15" hidden="false" customHeight="false" outlineLevel="0" collapsed="false">
      <c r="A227" s="5" t="s">
        <v>28</v>
      </c>
      <c r="B227" s="5" t="s">
        <v>29</v>
      </c>
      <c r="C227" s="5" t="s">
        <v>591</v>
      </c>
      <c r="D227" s="5" t="s">
        <v>62</v>
      </c>
      <c r="E227" s="5" t="s">
        <v>592</v>
      </c>
      <c r="F227" s="5" t="s">
        <v>593</v>
      </c>
      <c r="G227" s="10" t="n">
        <v>46297</v>
      </c>
      <c r="H227" s="10" t="n">
        <v>46327</v>
      </c>
      <c r="I227" s="6" t="n">
        <v>46.2</v>
      </c>
      <c r="J227" s="5" t="n">
        <f aca="false">IF(H227="","",MAX(0,Summary!$B$2-H227))</f>
        <v>0</v>
      </c>
      <c r="K227" s="5" t="str">
        <f aca="false">IF(J227="","No due date",IF(J227=0,"Not due",IF(J227&lt;=30,"1-30",IF(J227&lt;=60,"31-60",IF(J227&lt;=90,"61-90","90+")))))</f>
        <v>Not due</v>
      </c>
      <c r="L227" s="5" t="s">
        <v>459</v>
      </c>
      <c r="M227" s="10" t="n">
        <v>46318</v>
      </c>
    </row>
    <row r="228" customFormat="false" ht="15" hidden="false" customHeight="false" outlineLevel="0" collapsed="false">
      <c r="A228" s="5" t="s">
        <v>28</v>
      </c>
      <c r="B228" s="5" t="s">
        <v>29</v>
      </c>
      <c r="C228" s="5" t="s">
        <v>594</v>
      </c>
      <c r="D228" s="5" t="s">
        <v>62</v>
      </c>
      <c r="E228" s="5" t="s">
        <v>595</v>
      </c>
      <c r="F228" s="5" t="s">
        <v>593</v>
      </c>
      <c r="G228" s="10" t="n">
        <v>46304</v>
      </c>
      <c r="H228" s="10" t="n">
        <v>46334</v>
      </c>
      <c r="I228" s="6" t="n">
        <v>52.54</v>
      </c>
      <c r="J228" s="5" t="n">
        <f aca="false">IF(H228="","",MAX(0,Summary!$B$2-H228))</f>
        <v>0</v>
      </c>
      <c r="K228" s="5" t="str">
        <f aca="false">IF(J228="","No due date",IF(J228=0,"Not due",IF(J228&lt;=30,"1-30",IF(J228&lt;=60,"31-60",IF(J228&lt;=90,"61-90","90+")))))</f>
        <v>Not due</v>
      </c>
      <c r="L228" s="5" t="s">
        <v>459</v>
      </c>
      <c r="M228" s="10" t="n">
        <v>46318</v>
      </c>
    </row>
    <row r="229" customFormat="false" ht="15" hidden="false" customHeight="false" outlineLevel="0" collapsed="false">
      <c r="A229" s="5" t="s">
        <v>28</v>
      </c>
      <c r="B229" s="5" t="s">
        <v>29</v>
      </c>
      <c r="C229" s="5" t="s">
        <v>596</v>
      </c>
      <c r="D229" s="5" t="s">
        <v>62</v>
      </c>
      <c r="E229" s="5" t="s">
        <v>597</v>
      </c>
      <c r="F229" s="5" t="s">
        <v>593</v>
      </c>
      <c r="G229" s="10" t="n">
        <v>46311</v>
      </c>
      <c r="H229" s="10" t="n">
        <v>46341</v>
      </c>
      <c r="I229" s="6" t="n">
        <v>764.65</v>
      </c>
      <c r="J229" s="5" t="n">
        <f aca="false">IF(H229="","",MAX(0,Summary!$B$2-H229))</f>
        <v>0</v>
      </c>
      <c r="K229" s="5" t="str">
        <f aca="false">IF(J229="","No due date",IF(J229=0,"Not due",IF(J229&lt;=30,"1-30",IF(J229&lt;=60,"31-60",IF(J229&lt;=90,"61-90","90+")))))</f>
        <v>Not due</v>
      </c>
      <c r="L229" s="5" t="s">
        <v>459</v>
      </c>
      <c r="M229" s="10" t="n">
        <v>46318</v>
      </c>
    </row>
    <row r="230" customFormat="false" ht="15" hidden="false" customHeight="false" outlineLevel="0" collapsed="false">
      <c r="A230" s="5" t="s">
        <v>28</v>
      </c>
      <c r="B230" s="5" t="s">
        <v>29</v>
      </c>
      <c r="C230" s="5" t="s">
        <v>598</v>
      </c>
      <c r="D230" s="5" t="s">
        <v>62</v>
      </c>
      <c r="E230" s="5" t="s">
        <v>597</v>
      </c>
      <c r="F230" s="5" t="s">
        <v>593</v>
      </c>
      <c r="G230" s="10" t="n">
        <v>46311</v>
      </c>
      <c r="H230" s="10" t="n">
        <v>46341</v>
      </c>
      <c r="I230" s="6" t="n">
        <v>807.29</v>
      </c>
      <c r="J230" s="5" t="n">
        <f aca="false">IF(H230="","",MAX(0,Summary!$B$2-H230))</f>
        <v>0</v>
      </c>
      <c r="K230" s="5" t="str">
        <f aca="false">IF(J230="","No due date",IF(J230=0,"Not due",IF(J230&lt;=30,"1-30",IF(J230&lt;=60,"31-60",IF(J230&lt;=90,"61-90","90+")))))</f>
        <v>Not due</v>
      </c>
      <c r="L230" s="5" t="s">
        <v>459</v>
      </c>
      <c r="M230" s="10" t="n">
        <v>46318</v>
      </c>
    </row>
    <row r="231" customFormat="false" ht="15" hidden="false" customHeight="false" outlineLevel="0" collapsed="false">
      <c r="A231" s="5" t="s">
        <v>28</v>
      </c>
      <c r="B231" s="5" t="s">
        <v>29</v>
      </c>
      <c r="C231" s="5" t="s">
        <v>599</v>
      </c>
      <c r="D231" s="5" t="s">
        <v>452</v>
      </c>
      <c r="E231" s="5" t="s">
        <v>597</v>
      </c>
      <c r="F231" s="5" t="s">
        <v>593</v>
      </c>
      <c r="G231" s="10" t="n">
        <v>46311</v>
      </c>
      <c r="H231" s="10" t="n">
        <v>46341</v>
      </c>
      <c r="I231" s="6" t="n">
        <v>-764.65</v>
      </c>
      <c r="J231" s="5" t="n">
        <f aca="false">IF(H231="","",MAX(0,Summary!$B$2-H231))</f>
        <v>0</v>
      </c>
      <c r="K231" s="5" t="str">
        <f aca="false">IF(J231="","No due date",IF(J231=0,"Not due",IF(J231&lt;=30,"1-30",IF(J231&lt;=60,"31-60",IF(J231&lt;=90,"61-90","90+")))))</f>
        <v>Not due</v>
      </c>
      <c r="L231" s="5" t="s">
        <v>459</v>
      </c>
      <c r="M231" s="10" t="n">
        <v>46318</v>
      </c>
    </row>
    <row r="232" customFormat="false" ht="15" hidden="false" customHeight="false" outlineLevel="0" collapsed="false">
      <c r="A232" s="5" t="s">
        <v>12</v>
      </c>
      <c r="B232" s="5" t="s">
        <v>13</v>
      </c>
      <c r="C232" s="5" t="s">
        <v>600</v>
      </c>
      <c r="D232" s="5" t="s">
        <v>62</v>
      </c>
      <c r="E232" s="5" t="s">
        <v>601</v>
      </c>
      <c r="F232" s="5" t="s">
        <v>602</v>
      </c>
      <c r="G232" s="10" t="n">
        <v>45687</v>
      </c>
      <c r="H232" s="10" t="n">
        <v>45777</v>
      </c>
      <c r="I232" s="6" t="n">
        <v>-118</v>
      </c>
      <c r="J232" s="5" t="n">
        <f aca="false">IF(H232="","",MAX(0,Summary!$B$2-H232))</f>
        <v>541</v>
      </c>
      <c r="K232" s="5" t="str">
        <f aca="false">IF(J232="","No due date",IF(J232=0,"Not due",IF(J232&lt;=30,"1-30",IF(J232&lt;=60,"31-60",IF(J232&lt;=90,"61-90","90+")))))</f>
        <v>90+</v>
      </c>
      <c r="L232" s="5"/>
      <c r="M232" s="10" t="n">
        <v>46318</v>
      </c>
    </row>
    <row r="233" customFormat="false" ht="15" hidden="false" customHeight="false" outlineLevel="0" collapsed="false">
      <c r="A233" s="5" t="s">
        <v>12</v>
      </c>
      <c r="B233" s="5" t="s">
        <v>13</v>
      </c>
      <c r="C233" s="5" t="s">
        <v>603</v>
      </c>
      <c r="D233" s="5" t="s">
        <v>62</v>
      </c>
      <c r="E233" s="5" t="s">
        <v>604</v>
      </c>
      <c r="F233" s="5" t="s">
        <v>605</v>
      </c>
      <c r="G233" s="10" t="n">
        <v>46203</v>
      </c>
      <c r="H233" s="10" t="n">
        <v>46293</v>
      </c>
      <c r="I233" s="6" t="n">
        <v>910.98</v>
      </c>
      <c r="J233" s="5" t="n">
        <f aca="false">IF(H233="","",MAX(0,Summary!$B$2-H233))</f>
        <v>25</v>
      </c>
      <c r="K233" s="5" t="str">
        <f aca="false">IF(J233="","No due date",IF(J233=0,"Not due",IF(J233&lt;=30,"1-30",IF(J233&lt;=60,"31-60",IF(J233&lt;=90,"61-90","90+")))))</f>
        <v>1-30</v>
      </c>
      <c r="L233" s="5" t="s">
        <v>606</v>
      </c>
      <c r="M233" s="10" t="n">
        <v>46318</v>
      </c>
    </row>
    <row r="234" customFormat="false" ht="15" hidden="false" customHeight="false" outlineLevel="0" collapsed="false">
      <c r="A234" s="5" t="s">
        <v>12</v>
      </c>
      <c r="B234" s="5" t="s">
        <v>13</v>
      </c>
      <c r="C234" s="5" t="s">
        <v>607</v>
      </c>
      <c r="D234" s="5" t="s">
        <v>62</v>
      </c>
      <c r="E234" s="5" t="s">
        <v>608</v>
      </c>
      <c r="F234" s="5" t="s">
        <v>605</v>
      </c>
      <c r="G234" s="10" t="n">
        <v>46231</v>
      </c>
      <c r="H234" s="10" t="n">
        <v>46321</v>
      </c>
      <c r="I234" s="6" t="n">
        <v>678.78</v>
      </c>
      <c r="J234" s="5" t="n">
        <f aca="false">IF(H234="","",MAX(0,Summary!$B$2-H234))</f>
        <v>0</v>
      </c>
      <c r="K234" s="5" t="str">
        <f aca="false">IF(J234="","No due date",IF(J234=0,"Not due",IF(J234&lt;=30,"1-30",IF(J234&lt;=60,"31-60",IF(J234&lt;=90,"61-90","90+")))))</f>
        <v>Not due</v>
      </c>
      <c r="L234" s="5" t="s">
        <v>606</v>
      </c>
      <c r="M234" s="10" t="n">
        <v>46318</v>
      </c>
    </row>
    <row r="235" customFormat="false" ht="15" hidden="false" customHeight="false" outlineLevel="0" collapsed="false">
      <c r="A235" s="5" t="s">
        <v>12</v>
      </c>
      <c r="B235" s="5" t="s">
        <v>13</v>
      </c>
      <c r="C235" s="5" t="s">
        <v>609</v>
      </c>
      <c r="D235" s="5" t="s">
        <v>62</v>
      </c>
      <c r="E235" s="5" t="s">
        <v>610</v>
      </c>
      <c r="F235" s="5" t="s">
        <v>611</v>
      </c>
      <c r="G235" s="10" t="n">
        <v>46233</v>
      </c>
      <c r="H235" s="10" t="n">
        <v>46323</v>
      </c>
      <c r="I235" s="6" t="n">
        <v>628</v>
      </c>
      <c r="J235" s="5" t="n">
        <f aca="false">IF(H235="","",MAX(0,Summary!$B$2-H235))</f>
        <v>0</v>
      </c>
      <c r="K235" s="5" t="str">
        <f aca="false">IF(J235="","No due date",IF(J235=0,"Not due",IF(J235&lt;=30,"1-30",IF(J235&lt;=60,"31-60",IF(J235&lt;=90,"61-90","90+")))))</f>
        <v>Not due</v>
      </c>
      <c r="L235" s="5" t="s">
        <v>606</v>
      </c>
      <c r="M235" s="10" t="n">
        <v>46318</v>
      </c>
    </row>
    <row r="236" customFormat="false" ht="15" hidden="false" customHeight="false" outlineLevel="0" collapsed="false">
      <c r="A236" s="5" t="s">
        <v>12</v>
      </c>
      <c r="B236" s="5" t="s">
        <v>13</v>
      </c>
      <c r="C236" s="5" t="s">
        <v>612</v>
      </c>
      <c r="D236" s="5" t="s">
        <v>62</v>
      </c>
      <c r="E236" s="5" t="s">
        <v>613</v>
      </c>
      <c r="F236" s="5" t="s">
        <v>614</v>
      </c>
      <c r="G236" s="10" t="n">
        <v>46249</v>
      </c>
      <c r="H236" s="10" t="n">
        <v>46339</v>
      </c>
      <c r="I236" s="6" t="n">
        <v>1207.79</v>
      </c>
      <c r="J236" s="5" t="n">
        <f aca="false">IF(H236="","",MAX(0,Summary!$B$2-H236))</f>
        <v>0</v>
      </c>
      <c r="K236" s="5" t="str">
        <f aca="false">IF(J236="","No due date",IF(J236=0,"Not due",IF(J236&lt;=30,"1-30",IF(J236&lt;=60,"31-60",IF(J236&lt;=90,"61-90","90+")))))</f>
        <v>Not due</v>
      </c>
      <c r="L236" s="5" t="s">
        <v>606</v>
      </c>
      <c r="M236" s="10" t="n">
        <v>46318</v>
      </c>
    </row>
    <row r="237" customFormat="false" ht="15" hidden="false" customHeight="false" outlineLevel="0" collapsed="false">
      <c r="A237" s="5" t="s">
        <v>12</v>
      </c>
      <c r="B237" s="5" t="s">
        <v>13</v>
      </c>
      <c r="C237" s="5" t="s">
        <v>615</v>
      </c>
      <c r="D237" s="5" t="s">
        <v>62</v>
      </c>
      <c r="E237" s="5" t="s">
        <v>616</v>
      </c>
      <c r="F237" s="5" t="s">
        <v>614</v>
      </c>
      <c r="G237" s="10" t="n">
        <v>46249</v>
      </c>
      <c r="H237" s="10" t="n">
        <v>46339</v>
      </c>
      <c r="I237" s="6" t="n">
        <v>579.01</v>
      </c>
      <c r="J237" s="5" t="n">
        <f aca="false">IF(H237="","",MAX(0,Summary!$B$2-H237))</f>
        <v>0</v>
      </c>
      <c r="K237" s="5" t="str">
        <f aca="false">IF(J237="","No due date",IF(J237=0,"Not due",IF(J237&lt;=30,"1-30",IF(J237&lt;=60,"31-60",IF(J237&lt;=90,"61-90","90+")))))</f>
        <v>Not due</v>
      </c>
      <c r="L237" s="5" t="s">
        <v>606</v>
      </c>
      <c r="M237" s="10" t="n">
        <v>46318</v>
      </c>
    </row>
    <row r="238" customFormat="false" ht="15" hidden="false" customHeight="false" outlineLevel="0" collapsed="false">
      <c r="A238" s="5" t="s">
        <v>12</v>
      </c>
      <c r="B238" s="5" t="s">
        <v>13</v>
      </c>
      <c r="C238" s="5" t="s">
        <v>617</v>
      </c>
      <c r="D238" s="5" t="s">
        <v>62</v>
      </c>
      <c r="E238" s="5" t="s">
        <v>618</v>
      </c>
      <c r="F238" s="5" t="s">
        <v>619</v>
      </c>
      <c r="G238" s="10" t="n">
        <v>46251</v>
      </c>
      <c r="H238" s="10" t="n">
        <v>46341</v>
      </c>
      <c r="I238" s="6" t="n">
        <v>146.86</v>
      </c>
      <c r="J238" s="5" t="n">
        <f aca="false">IF(H238="","",MAX(0,Summary!$B$2-H238))</f>
        <v>0</v>
      </c>
      <c r="K238" s="5" t="str">
        <f aca="false">IF(J238="","No due date",IF(J238=0,"Not due",IF(J238&lt;=30,"1-30",IF(J238&lt;=60,"31-60",IF(J238&lt;=90,"61-90","90+")))))</f>
        <v>Not due</v>
      </c>
      <c r="L238" s="5" t="s">
        <v>606</v>
      </c>
      <c r="M238" s="10" t="n">
        <v>46318</v>
      </c>
    </row>
    <row r="239" customFormat="false" ht="15" hidden="false" customHeight="false" outlineLevel="0" collapsed="false">
      <c r="A239" s="5" t="s">
        <v>12</v>
      </c>
      <c r="B239" s="5" t="s">
        <v>13</v>
      </c>
      <c r="C239" s="5" t="s">
        <v>620</v>
      </c>
      <c r="D239" s="5" t="s">
        <v>62</v>
      </c>
      <c r="E239" s="5" t="s">
        <v>621</v>
      </c>
      <c r="F239" s="5" t="s">
        <v>622</v>
      </c>
      <c r="G239" s="10" t="n">
        <v>46252</v>
      </c>
      <c r="H239" s="10" t="n">
        <v>46342</v>
      </c>
      <c r="I239" s="6" t="n">
        <v>688</v>
      </c>
      <c r="J239" s="5" t="n">
        <f aca="false">IF(H239="","",MAX(0,Summary!$B$2-H239))</f>
        <v>0</v>
      </c>
      <c r="K239" s="5" t="str">
        <f aca="false">IF(J239="","No due date",IF(J239=0,"Not due",IF(J239&lt;=30,"1-30",IF(J239&lt;=60,"31-60",IF(J239&lt;=90,"61-90","90+")))))</f>
        <v>Not due</v>
      </c>
      <c r="L239" s="5" t="s">
        <v>606</v>
      </c>
      <c r="M239" s="10" t="n">
        <v>46318</v>
      </c>
    </row>
    <row r="240" customFormat="false" ht="15" hidden="false" customHeight="false" outlineLevel="0" collapsed="false">
      <c r="A240" s="5" t="s">
        <v>12</v>
      </c>
      <c r="B240" s="5" t="s">
        <v>13</v>
      </c>
      <c r="C240" s="5" t="s">
        <v>623</v>
      </c>
      <c r="D240" s="5" t="s">
        <v>62</v>
      </c>
      <c r="E240" s="5" t="s">
        <v>624</v>
      </c>
      <c r="F240" s="5" t="s">
        <v>625</v>
      </c>
      <c r="G240" s="10" t="n">
        <v>46253</v>
      </c>
      <c r="H240" s="10" t="n">
        <v>46343</v>
      </c>
      <c r="I240" s="6" t="n">
        <v>1050</v>
      </c>
      <c r="J240" s="5" t="n">
        <f aca="false">IF(H240="","",MAX(0,Summary!$B$2-H240))</f>
        <v>0</v>
      </c>
      <c r="K240" s="5" t="str">
        <f aca="false">IF(J240="","No due date",IF(J240=0,"Not due",IF(J240&lt;=30,"1-30",IF(J240&lt;=60,"31-60",IF(J240&lt;=90,"61-90","90+")))))</f>
        <v>Not due</v>
      </c>
      <c r="L240" s="5" t="s">
        <v>606</v>
      </c>
      <c r="M240" s="10" t="n">
        <v>46318</v>
      </c>
    </row>
    <row r="241" customFormat="false" ht="15" hidden="false" customHeight="false" outlineLevel="0" collapsed="false">
      <c r="A241" s="5" t="s">
        <v>12</v>
      </c>
      <c r="B241" s="5" t="s">
        <v>13</v>
      </c>
      <c r="C241" s="5" t="s">
        <v>626</v>
      </c>
      <c r="D241" s="5" t="s">
        <v>62</v>
      </c>
      <c r="E241" s="5" t="s">
        <v>627</v>
      </c>
      <c r="F241" s="5" t="s">
        <v>628</v>
      </c>
      <c r="G241" s="10" t="n">
        <v>46275</v>
      </c>
      <c r="H241" s="10" t="n">
        <v>46365</v>
      </c>
      <c r="I241" s="6" t="n">
        <v>326.8</v>
      </c>
      <c r="J241" s="5" t="n">
        <f aca="false">IF(H241="","",MAX(0,Summary!$B$2-H241))</f>
        <v>0</v>
      </c>
      <c r="K241" s="5" t="str">
        <f aca="false">IF(J241="","No due date",IF(J241=0,"Not due",IF(J241&lt;=30,"1-30",IF(J241&lt;=60,"31-60",IF(J241&lt;=90,"61-90","90+")))))</f>
        <v>Not due</v>
      </c>
      <c r="L241" s="5" t="s">
        <v>606</v>
      </c>
      <c r="M241" s="10" t="n">
        <v>46318</v>
      </c>
    </row>
    <row r="242" customFormat="false" ht="15" hidden="false" customHeight="false" outlineLevel="0" collapsed="false">
      <c r="A242" s="5" t="s">
        <v>12</v>
      </c>
      <c r="B242" s="5" t="s">
        <v>13</v>
      </c>
      <c r="C242" s="5" t="s">
        <v>629</v>
      </c>
      <c r="D242" s="5" t="s">
        <v>62</v>
      </c>
      <c r="E242" s="5" t="s">
        <v>630</v>
      </c>
      <c r="F242" s="5" t="s">
        <v>631</v>
      </c>
      <c r="G242" s="10" t="n">
        <v>46283</v>
      </c>
      <c r="H242" s="10" t="n">
        <v>46373</v>
      </c>
      <c r="I242" s="6" t="n">
        <v>491.01</v>
      </c>
      <c r="J242" s="5" t="n">
        <f aca="false">IF(H242="","",MAX(0,Summary!$B$2-H242))</f>
        <v>0</v>
      </c>
      <c r="K242" s="5" t="str">
        <f aca="false">IF(J242="","No due date",IF(J242=0,"Not due",IF(J242&lt;=30,"1-30",IF(J242&lt;=60,"31-60",IF(J242&lt;=90,"61-90","90+")))))</f>
        <v>Not due</v>
      </c>
      <c r="L242" s="5" t="s">
        <v>606</v>
      </c>
      <c r="M242" s="10" t="n">
        <v>46318</v>
      </c>
    </row>
    <row r="243" customFormat="false" ht="15" hidden="false" customHeight="false" outlineLevel="0" collapsed="false">
      <c r="A243" s="5" t="s">
        <v>12</v>
      </c>
      <c r="B243" s="5" t="s">
        <v>13</v>
      </c>
      <c r="C243" s="5" t="s">
        <v>632</v>
      </c>
      <c r="D243" s="5" t="s">
        <v>62</v>
      </c>
      <c r="E243" s="5" t="s">
        <v>633</v>
      </c>
      <c r="F243" s="5" t="s">
        <v>634</v>
      </c>
      <c r="G243" s="10" t="n">
        <v>46290</v>
      </c>
      <c r="H243" s="10" t="n">
        <v>46380</v>
      </c>
      <c r="I243" s="6" t="n">
        <v>700</v>
      </c>
      <c r="J243" s="5" t="n">
        <f aca="false">IF(H243="","",MAX(0,Summary!$B$2-H243))</f>
        <v>0</v>
      </c>
      <c r="K243" s="5" t="str">
        <f aca="false">IF(J243="","No due date",IF(J243=0,"Not due",IF(J243&lt;=30,"1-30",IF(J243&lt;=60,"31-60",IF(J243&lt;=90,"61-90","90+")))))</f>
        <v>Not due</v>
      </c>
      <c r="L243" s="5" t="s">
        <v>606</v>
      </c>
      <c r="M243" s="10" t="n">
        <v>46318</v>
      </c>
    </row>
    <row r="244" customFormat="false" ht="15" hidden="false" customHeight="false" outlineLevel="0" collapsed="false">
      <c r="A244" s="5" t="s">
        <v>12</v>
      </c>
      <c r="B244" s="5" t="s">
        <v>13</v>
      </c>
      <c r="C244" s="5" t="s">
        <v>635</v>
      </c>
      <c r="D244" s="5" t="s">
        <v>62</v>
      </c>
      <c r="E244" s="5" t="s">
        <v>636</v>
      </c>
      <c r="F244" s="5" t="s">
        <v>637</v>
      </c>
      <c r="G244" s="10" t="n">
        <v>46290</v>
      </c>
      <c r="H244" s="10" t="n">
        <v>46380</v>
      </c>
      <c r="I244" s="6" t="n">
        <v>95</v>
      </c>
      <c r="J244" s="5" t="n">
        <f aca="false">IF(H244="","",MAX(0,Summary!$B$2-H244))</f>
        <v>0</v>
      </c>
      <c r="K244" s="5" t="str">
        <f aca="false">IF(J244="","No due date",IF(J244=0,"Not due",IF(J244&lt;=30,"1-30",IF(J244&lt;=60,"31-60",IF(J244&lt;=90,"61-90","90+")))))</f>
        <v>Not due</v>
      </c>
      <c r="L244" s="5" t="s">
        <v>606</v>
      </c>
      <c r="M244" s="10" t="n">
        <v>46318</v>
      </c>
    </row>
    <row r="245" customFormat="false" ht="15" hidden="false" customHeight="false" outlineLevel="0" collapsed="false">
      <c r="A245" s="5" t="s">
        <v>12</v>
      </c>
      <c r="B245" s="5" t="s">
        <v>13</v>
      </c>
      <c r="C245" s="5" t="s">
        <v>638</v>
      </c>
      <c r="D245" s="5" t="s">
        <v>62</v>
      </c>
      <c r="E245" s="5" t="s">
        <v>639</v>
      </c>
      <c r="F245" s="5" t="s">
        <v>640</v>
      </c>
      <c r="G245" s="10" t="n">
        <v>46295</v>
      </c>
      <c r="H245" s="10" t="n">
        <v>46385</v>
      </c>
      <c r="I245" s="6" t="n">
        <v>671.5</v>
      </c>
      <c r="J245" s="5" t="n">
        <f aca="false">IF(H245="","",MAX(0,Summary!$B$2-H245))</f>
        <v>0</v>
      </c>
      <c r="K245" s="5" t="str">
        <f aca="false">IF(J245="","No due date",IF(J245=0,"Not due",IF(J245&lt;=30,"1-30",IF(J245&lt;=60,"31-60",IF(J245&lt;=90,"61-90","90+")))))</f>
        <v>Not due</v>
      </c>
      <c r="L245" s="5" t="s">
        <v>641</v>
      </c>
      <c r="M245" s="10" t="n">
        <v>46318</v>
      </c>
    </row>
    <row r="246" customFormat="false" ht="15" hidden="false" customHeight="false" outlineLevel="0" collapsed="false">
      <c r="A246" s="5" t="s">
        <v>12</v>
      </c>
      <c r="B246" s="5" t="s">
        <v>13</v>
      </c>
      <c r="C246" s="5" t="s">
        <v>642</v>
      </c>
      <c r="D246" s="5" t="s">
        <v>62</v>
      </c>
      <c r="E246" s="5" t="s">
        <v>639</v>
      </c>
      <c r="F246" s="5" t="s">
        <v>643</v>
      </c>
      <c r="G246" s="10" t="n">
        <v>46305</v>
      </c>
      <c r="H246" s="10" t="n">
        <v>46395</v>
      </c>
      <c r="I246" s="6" t="n">
        <v>671.5</v>
      </c>
      <c r="J246" s="5" t="n">
        <f aca="false">IF(H246="","",MAX(0,Summary!$B$2-H246))</f>
        <v>0</v>
      </c>
      <c r="K246" s="5" t="str">
        <f aca="false">IF(J246="","No due date",IF(J246=0,"Not due",IF(J246&lt;=30,"1-30",IF(J246&lt;=60,"31-60",IF(J246&lt;=90,"61-90","90+")))))</f>
        <v>Not due</v>
      </c>
      <c r="L246" s="5" t="s">
        <v>606</v>
      </c>
      <c r="M246" s="10" t="n">
        <v>46318</v>
      </c>
    </row>
    <row r="247" customFormat="false" ht="15" hidden="false" customHeight="false" outlineLevel="0" collapsed="false">
      <c r="A247" s="5" t="s">
        <v>12</v>
      </c>
      <c r="B247" s="5" t="s">
        <v>13</v>
      </c>
      <c r="C247" s="5" t="s">
        <v>644</v>
      </c>
      <c r="D247" s="5" t="s">
        <v>62</v>
      </c>
      <c r="E247" s="5" t="s">
        <v>645</v>
      </c>
      <c r="F247" s="5" t="s">
        <v>643</v>
      </c>
      <c r="G247" s="10" t="n">
        <v>46305</v>
      </c>
      <c r="H247" s="10" t="n">
        <v>46395</v>
      </c>
      <c r="I247" s="6" t="n">
        <v>317.06</v>
      </c>
      <c r="J247" s="5" t="n">
        <f aca="false">IF(H247="","",MAX(0,Summary!$B$2-H247))</f>
        <v>0</v>
      </c>
      <c r="K247" s="5" t="str">
        <f aca="false">IF(J247="","No due date",IF(J247=0,"Not due",IF(J247&lt;=30,"1-30",IF(J247&lt;=60,"31-60",IF(J247&lt;=90,"61-90","90+")))))</f>
        <v>Not due</v>
      </c>
      <c r="L247" s="5" t="s">
        <v>606</v>
      </c>
      <c r="M247" s="10" t="n">
        <v>46318</v>
      </c>
    </row>
    <row r="248" customFormat="false" ht="15" hidden="false" customHeight="false" outlineLevel="0" collapsed="false">
      <c r="A248" s="5" t="s">
        <v>12</v>
      </c>
      <c r="B248" s="5" t="s">
        <v>13</v>
      </c>
      <c r="C248" s="5" t="s">
        <v>646</v>
      </c>
      <c r="D248" s="5" t="s">
        <v>62</v>
      </c>
      <c r="E248" s="5" t="s">
        <v>647</v>
      </c>
      <c r="F248" s="5" t="s">
        <v>648</v>
      </c>
      <c r="G248" s="10" t="n">
        <v>46305</v>
      </c>
      <c r="H248" s="10" t="n">
        <v>46395</v>
      </c>
      <c r="I248" s="6" t="n">
        <v>215</v>
      </c>
      <c r="J248" s="5" t="n">
        <f aca="false">IF(H248="","",MAX(0,Summary!$B$2-H248))</f>
        <v>0</v>
      </c>
      <c r="K248" s="5" t="str">
        <f aca="false">IF(J248="","No due date",IF(J248=0,"Not due",IF(J248&lt;=30,"1-30",IF(J248&lt;=60,"31-60",IF(J248&lt;=90,"61-90","90+")))))</f>
        <v>Not due</v>
      </c>
      <c r="L248" s="5" t="s">
        <v>606</v>
      </c>
      <c r="M248" s="10" t="n">
        <v>46318</v>
      </c>
    </row>
    <row r="249" customFormat="false" ht="15" hidden="false" customHeight="false" outlineLevel="0" collapsed="false">
      <c r="A249" s="5" t="s">
        <v>12</v>
      </c>
      <c r="B249" s="5" t="s">
        <v>13</v>
      </c>
      <c r="C249" s="5" t="s">
        <v>649</v>
      </c>
      <c r="D249" s="5" t="s">
        <v>62</v>
      </c>
      <c r="E249" s="5" t="s">
        <v>650</v>
      </c>
      <c r="F249" s="5" t="s">
        <v>651</v>
      </c>
      <c r="G249" s="10" t="n">
        <v>46305</v>
      </c>
      <c r="H249" s="10" t="n">
        <v>46395</v>
      </c>
      <c r="I249" s="6" t="n">
        <v>206.4</v>
      </c>
      <c r="J249" s="5" t="n">
        <f aca="false">IF(H249="","",MAX(0,Summary!$B$2-H249))</f>
        <v>0</v>
      </c>
      <c r="K249" s="5" t="str">
        <f aca="false">IF(J249="","No due date",IF(J249=0,"Not due",IF(J249&lt;=30,"1-30",IF(J249&lt;=60,"31-60",IF(J249&lt;=90,"61-90","90+")))))</f>
        <v>Not due</v>
      </c>
      <c r="L249" s="5" t="s">
        <v>606</v>
      </c>
      <c r="M249" s="10" t="n">
        <v>46318</v>
      </c>
    </row>
    <row r="250" customFormat="false" ht="15" hidden="false" customHeight="false" outlineLevel="0" collapsed="false">
      <c r="A250" s="5" t="s">
        <v>12</v>
      </c>
      <c r="B250" s="5" t="s">
        <v>13</v>
      </c>
      <c r="C250" s="5" t="s">
        <v>652</v>
      </c>
      <c r="D250" s="5" t="s">
        <v>62</v>
      </c>
      <c r="E250" s="5" t="s">
        <v>653</v>
      </c>
      <c r="F250" s="5" t="s">
        <v>654</v>
      </c>
      <c r="G250" s="10" t="n">
        <v>46305</v>
      </c>
      <c r="H250" s="10" t="n">
        <v>46395</v>
      </c>
      <c r="I250" s="6" t="n">
        <v>12114.71</v>
      </c>
      <c r="J250" s="5" t="n">
        <f aca="false">IF(H250="","",MAX(0,Summary!$B$2-H250))</f>
        <v>0</v>
      </c>
      <c r="K250" s="5" t="str">
        <f aca="false">IF(J250="","No due date",IF(J250=0,"Not due",IF(J250&lt;=30,"1-30",IF(J250&lt;=60,"31-60",IF(J250&lt;=90,"61-90","90+")))))</f>
        <v>Not due</v>
      </c>
      <c r="L250" s="5" t="s">
        <v>606</v>
      </c>
      <c r="M250" s="10" t="n">
        <v>46318</v>
      </c>
    </row>
    <row r="251" customFormat="false" ht="15" hidden="false" customHeight="false" outlineLevel="0" collapsed="false">
      <c r="A251" s="5" t="s">
        <v>12</v>
      </c>
      <c r="B251" s="5" t="s">
        <v>13</v>
      </c>
      <c r="C251" s="5" t="s">
        <v>655</v>
      </c>
      <c r="D251" s="5" t="s">
        <v>452</v>
      </c>
      <c r="E251" s="5" t="s">
        <v>639</v>
      </c>
      <c r="F251" s="5" t="s">
        <v>640</v>
      </c>
      <c r="G251" s="10" t="n">
        <v>46305</v>
      </c>
      <c r="H251" s="10" t="n">
        <v>46395</v>
      </c>
      <c r="I251" s="6" t="n">
        <v>-671.5</v>
      </c>
      <c r="J251" s="5" t="n">
        <f aca="false">IF(H251="","",MAX(0,Summary!$B$2-H251))</f>
        <v>0</v>
      </c>
      <c r="K251" s="5" t="str">
        <f aca="false">IF(J251="","No due date",IF(J251=0,"Not due",IF(J251&lt;=30,"1-30",IF(J251&lt;=60,"31-60",IF(J251&lt;=90,"61-90","90+")))))</f>
        <v>Not due</v>
      </c>
      <c r="L251" s="5" t="s">
        <v>641</v>
      </c>
      <c r="M251" s="10" t="n">
        <v>46318</v>
      </c>
    </row>
    <row r="252" customFormat="false" ht="15" hidden="false" customHeight="false" outlineLevel="0" collapsed="false">
      <c r="A252" s="5" t="s">
        <v>12</v>
      </c>
      <c r="B252" s="5" t="s">
        <v>13</v>
      </c>
      <c r="C252" s="5" t="s">
        <v>656</v>
      </c>
      <c r="D252" s="5" t="s">
        <v>62</v>
      </c>
      <c r="E252" s="5" t="s">
        <v>657</v>
      </c>
      <c r="F252" s="5" t="s">
        <v>658</v>
      </c>
      <c r="G252" s="10" t="n">
        <v>46312</v>
      </c>
      <c r="H252" s="10" t="n">
        <v>46402</v>
      </c>
      <c r="I252" s="6" t="n">
        <v>283.9</v>
      </c>
      <c r="J252" s="5" t="n">
        <f aca="false">IF(H252="","",MAX(0,Summary!$B$2-H252))</f>
        <v>0</v>
      </c>
      <c r="K252" s="5" t="str">
        <f aca="false">IF(J252="","No due date",IF(J252=0,"Not due",IF(J252&lt;=30,"1-30",IF(J252&lt;=60,"31-60",IF(J252&lt;=90,"61-90","90+")))))</f>
        <v>Not due</v>
      </c>
      <c r="L252" s="5" t="s">
        <v>606</v>
      </c>
      <c r="M252" s="10" t="n">
        <v>46318</v>
      </c>
    </row>
    <row r="253" customFormat="false" ht="15" hidden="false" customHeight="false" outlineLevel="0" collapsed="false">
      <c r="A253" s="5" t="s">
        <v>12</v>
      </c>
      <c r="B253" s="5" t="s">
        <v>13</v>
      </c>
      <c r="C253" s="5" t="s">
        <v>659</v>
      </c>
      <c r="D253" s="5" t="s">
        <v>62</v>
      </c>
      <c r="E253" s="5" t="s">
        <v>660</v>
      </c>
      <c r="F253" s="5" t="s">
        <v>661</v>
      </c>
      <c r="G253" s="10" t="n">
        <v>46314</v>
      </c>
      <c r="H253" s="10" t="n">
        <v>46404</v>
      </c>
      <c r="I253" s="6" t="n">
        <v>885.65</v>
      </c>
      <c r="J253" s="5" t="n">
        <f aca="false">IF(H253="","",MAX(0,Summary!$B$2-H253))</f>
        <v>0</v>
      </c>
      <c r="K253" s="5" t="str">
        <f aca="false">IF(J253="","No due date",IF(J253=0,"Not due",IF(J253&lt;=30,"1-30",IF(J253&lt;=60,"31-60",IF(J253&lt;=90,"61-90","90+")))))</f>
        <v>Not due</v>
      </c>
      <c r="L253" s="5" t="s">
        <v>606</v>
      </c>
      <c r="M253" s="10" t="n">
        <v>46318</v>
      </c>
    </row>
    <row r="254" customFormat="false" ht="15" hidden="false" customHeight="false" outlineLevel="0" collapsed="false">
      <c r="A254" s="5" t="s">
        <v>12</v>
      </c>
      <c r="B254" s="5" t="s">
        <v>13</v>
      </c>
      <c r="C254" s="5" t="s">
        <v>662</v>
      </c>
      <c r="D254" s="5" t="s">
        <v>62</v>
      </c>
      <c r="E254" s="5" t="s">
        <v>663</v>
      </c>
      <c r="F254" s="5" t="s">
        <v>664</v>
      </c>
      <c r="G254" s="10" t="n">
        <v>46316</v>
      </c>
      <c r="H254" s="10"/>
      <c r="I254" s="6" t="n">
        <v>700</v>
      </c>
      <c r="J254" s="5" t="str">
        <f aca="false">IF(H254="","",MAX(0,Summary!$B$2-H254))</f>
        <v/>
      </c>
      <c r="K254" s="5" t="str">
        <f aca="false">IF(J254="","No due date",IF(J254=0,"Not due",IF(J254&lt;=30,"1-30",IF(J254&lt;=60,"31-60",IF(J254&lt;=90,"61-90","90+")))))</f>
        <v>No due date</v>
      </c>
      <c r="L254" s="5"/>
      <c r="M254" s="10" t="n">
        <v>46318</v>
      </c>
    </row>
    <row r="255" customFormat="false" ht="15" hidden="false" customHeight="false" outlineLevel="0" collapsed="false">
      <c r="A255" s="5" t="s">
        <v>12</v>
      </c>
      <c r="B255" s="5" t="s">
        <v>13</v>
      </c>
      <c r="C255" s="5" t="s">
        <v>665</v>
      </c>
      <c r="D255" s="5" t="s">
        <v>62</v>
      </c>
      <c r="E255" s="5" t="s">
        <v>650</v>
      </c>
      <c r="F255" s="5" t="s">
        <v>666</v>
      </c>
      <c r="G255" s="10" t="n">
        <v>46316</v>
      </c>
      <c r="H255" s="10"/>
      <c r="I255" s="6" t="n">
        <v>206</v>
      </c>
      <c r="J255" s="5" t="str">
        <f aca="false">IF(H255="","",MAX(0,Summary!$B$2-H255))</f>
        <v/>
      </c>
      <c r="K255" s="5" t="str">
        <f aca="false">IF(J255="","No due date",IF(J255=0,"Not due",IF(J255&lt;=30,"1-30",IF(J255&lt;=60,"31-60",IF(J255&lt;=90,"61-90","90+")))))</f>
        <v>No due date</v>
      </c>
      <c r="L255" s="5"/>
      <c r="M255" s="10" t="n">
        <v>46318</v>
      </c>
    </row>
    <row r="256" customFormat="false" ht="15" hidden="false" customHeight="false" outlineLevel="0" collapsed="false">
      <c r="A256" s="5" t="s">
        <v>12</v>
      </c>
      <c r="B256" s="5" t="s">
        <v>13</v>
      </c>
      <c r="C256" s="5" t="s">
        <v>667</v>
      </c>
      <c r="D256" s="5" t="s">
        <v>62</v>
      </c>
      <c r="E256" s="5" t="s">
        <v>668</v>
      </c>
      <c r="F256" s="5" t="s">
        <v>669</v>
      </c>
      <c r="G256" s="10" t="n">
        <v>46316</v>
      </c>
      <c r="H256" s="10"/>
      <c r="I256" s="6" t="n">
        <v>136.21</v>
      </c>
      <c r="J256" s="5" t="str">
        <f aca="false">IF(H256="","",MAX(0,Summary!$B$2-H256))</f>
        <v/>
      </c>
      <c r="K256" s="5" t="str">
        <f aca="false">IF(J256="","No due date",IF(J256=0,"Not due",IF(J256&lt;=30,"1-30",IF(J256&lt;=60,"31-60",IF(J256&lt;=90,"61-90","90+")))))</f>
        <v>No due date</v>
      </c>
      <c r="L256" s="5"/>
      <c r="M256" s="10" t="n">
        <v>46318</v>
      </c>
    </row>
    <row r="257" customFormat="false" ht="15" hidden="false" customHeight="false" outlineLevel="0" collapsed="false">
      <c r="A257" s="5" t="s">
        <v>12</v>
      </c>
      <c r="B257" s="5" t="s">
        <v>13</v>
      </c>
      <c r="C257" s="5" t="s">
        <v>670</v>
      </c>
      <c r="D257" s="5" t="s">
        <v>62</v>
      </c>
      <c r="E257" s="5" t="s">
        <v>671</v>
      </c>
      <c r="F257" s="5" t="s">
        <v>672</v>
      </c>
      <c r="G257" s="10" t="n">
        <v>46316</v>
      </c>
      <c r="H257" s="10"/>
      <c r="I257" s="6" t="n">
        <v>491.01</v>
      </c>
      <c r="J257" s="5" t="str">
        <f aca="false">IF(H257="","",MAX(0,Summary!$B$2-H257))</f>
        <v/>
      </c>
      <c r="K257" s="5" t="str">
        <f aca="false">IF(J257="","No due date",IF(J257=0,"Not due",IF(J257&lt;=30,"1-30",IF(J257&lt;=60,"31-60",IF(J257&lt;=90,"61-90","90+")))))</f>
        <v>No due date</v>
      </c>
      <c r="L257" s="5"/>
      <c r="M257" s="10" t="n">
        <v>46318</v>
      </c>
    </row>
    <row r="258" customFormat="false" ht="15" hidden="false" customHeight="false" outlineLevel="0" collapsed="false">
      <c r="A258" s="5" t="s">
        <v>12</v>
      </c>
      <c r="B258" s="5" t="s">
        <v>13</v>
      </c>
      <c r="C258" s="5" t="s">
        <v>673</v>
      </c>
      <c r="D258" s="5" t="s">
        <v>62</v>
      </c>
      <c r="E258" s="5" t="s">
        <v>674</v>
      </c>
      <c r="F258" s="5" t="s">
        <v>643</v>
      </c>
      <c r="G258" s="10" t="n">
        <v>46316</v>
      </c>
      <c r="H258" s="10"/>
      <c r="I258" s="6" t="n">
        <v>861.06</v>
      </c>
      <c r="J258" s="5" t="str">
        <f aca="false">IF(H258="","",MAX(0,Summary!$B$2-H258))</f>
        <v/>
      </c>
      <c r="K258" s="5" t="str">
        <f aca="false">IF(J258="","No due date",IF(J258=0,"Not due",IF(J258&lt;=30,"1-30",IF(J258&lt;=60,"31-60",IF(J258&lt;=90,"61-90","90+")))))</f>
        <v>No due date</v>
      </c>
      <c r="L258" s="5"/>
      <c r="M258" s="10" t="n">
        <v>46318</v>
      </c>
    </row>
    <row r="259" customFormat="false" ht="15" hidden="false" customHeight="false" outlineLevel="0" collapsed="false">
      <c r="A259" s="5" t="s">
        <v>12</v>
      </c>
      <c r="B259" s="5" t="s">
        <v>13</v>
      </c>
      <c r="C259" s="5" t="s">
        <v>675</v>
      </c>
      <c r="D259" s="5" t="s">
        <v>452</v>
      </c>
      <c r="E259" s="5" t="s">
        <v>650</v>
      </c>
      <c r="F259" s="5" t="s">
        <v>651</v>
      </c>
      <c r="G259" s="10" t="n">
        <v>46316</v>
      </c>
      <c r="H259" s="10"/>
      <c r="I259" s="6" t="n">
        <v>-206.4</v>
      </c>
      <c r="J259" s="5" t="str">
        <f aca="false">IF(H259="","",MAX(0,Summary!$B$2-H259))</f>
        <v/>
      </c>
      <c r="K259" s="5" t="str">
        <f aca="false">IF(J259="","No due date",IF(J259=0,"Not due",IF(J259&lt;=30,"1-30",IF(J259&lt;=60,"31-60",IF(J259&lt;=90,"61-90","90+")))))</f>
        <v>No due date</v>
      </c>
      <c r="L259" s="5"/>
      <c r="M259" s="10" t="n">
        <v>46318</v>
      </c>
    </row>
    <row r="260" customFormat="false" ht="15" hidden="false" customHeight="false" outlineLevel="0" collapsed="false">
      <c r="A260" s="5" t="s">
        <v>36</v>
      </c>
      <c r="B260" s="5"/>
      <c r="C260" s="5" t="s">
        <v>676</v>
      </c>
      <c r="D260" s="5" t="s">
        <v>62</v>
      </c>
      <c r="E260" s="5" t="s">
        <v>677</v>
      </c>
      <c r="F260" s="5" t="s">
        <v>678</v>
      </c>
      <c r="G260" s="10" t="n">
        <v>46267</v>
      </c>
      <c r="H260" s="10" t="n">
        <v>46326</v>
      </c>
      <c r="I260" s="6" t="n">
        <v>60.72</v>
      </c>
      <c r="J260" s="5" t="n">
        <f aca="false">IF(H260="","",MAX(0,Summary!$B$2-H260))</f>
        <v>0</v>
      </c>
      <c r="K260" s="5" t="str">
        <f aca="false">IF(J260="","No due date",IF(J260=0,"Not due",IF(J260&lt;=30,"1-30",IF(J260&lt;=60,"31-60",IF(J260&lt;=90,"61-90","90+")))))</f>
        <v>Not due</v>
      </c>
      <c r="L260" s="5" t="s">
        <v>444</v>
      </c>
      <c r="M260" s="10" t="n">
        <v>46318</v>
      </c>
    </row>
    <row r="261" customFormat="false" ht="15" hidden="false" customHeight="false" outlineLevel="0" collapsed="false">
      <c r="A261" s="5" t="s">
        <v>36</v>
      </c>
      <c r="B261" s="5"/>
      <c r="C261" s="5" t="s">
        <v>679</v>
      </c>
      <c r="D261" s="5" t="s">
        <v>62</v>
      </c>
      <c r="E261" s="5" t="s">
        <v>680</v>
      </c>
      <c r="F261" s="5" t="s">
        <v>681</v>
      </c>
      <c r="G261" s="10" t="n">
        <v>46297</v>
      </c>
      <c r="H261" s="10" t="n">
        <v>46356</v>
      </c>
      <c r="I261" s="6" t="n">
        <v>66.24</v>
      </c>
      <c r="J261" s="5" t="n">
        <f aca="false">IF(H261="","",MAX(0,Summary!$B$2-H261))</f>
        <v>0</v>
      </c>
      <c r="K261" s="5" t="str">
        <f aca="false">IF(J261="","No due date",IF(J261=0,"Not due",IF(J261&lt;=30,"1-30",IF(J261&lt;=60,"31-60",IF(J261&lt;=90,"61-90","90+")))))</f>
        <v>Not due</v>
      </c>
      <c r="L261" s="5" t="s">
        <v>459</v>
      </c>
      <c r="M261" s="10" t="n">
        <v>46318</v>
      </c>
    </row>
    <row r="262" customFormat="false" ht="15" hidden="false" customHeight="false" outlineLevel="0" collapsed="false">
      <c r="A262" s="5" t="s">
        <v>26</v>
      </c>
      <c r="B262" s="5" t="s">
        <v>27</v>
      </c>
      <c r="C262" s="5" t="s">
        <v>682</v>
      </c>
      <c r="D262" s="5" t="s">
        <v>62</v>
      </c>
      <c r="E262" s="5" t="s">
        <v>683</v>
      </c>
      <c r="F262" s="5" t="s">
        <v>684</v>
      </c>
      <c r="G262" s="10" t="n">
        <v>46286</v>
      </c>
      <c r="H262" s="10" t="n">
        <v>46326</v>
      </c>
      <c r="I262" s="6" t="n">
        <v>237.95</v>
      </c>
      <c r="J262" s="5" t="n">
        <f aca="false">IF(H262="","",MAX(0,Summary!$B$2-H262))</f>
        <v>0</v>
      </c>
      <c r="K262" s="5" t="str">
        <f aca="false">IF(J262="","No due date",IF(J262=0,"Not due",IF(J262&lt;=30,"1-30",IF(J262&lt;=60,"31-60",IF(J262&lt;=90,"61-90","90+")))))</f>
        <v>Not due</v>
      </c>
      <c r="L262" s="5" t="s">
        <v>444</v>
      </c>
      <c r="M262" s="10" t="n">
        <v>46316</v>
      </c>
    </row>
    <row r="263" customFormat="false" ht="15" hidden="false" customHeight="false" outlineLevel="0" collapsed="false">
      <c r="A263" s="5" t="s">
        <v>26</v>
      </c>
      <c r="B263" s="5" t="s">
        <v>27</v>
      </c>
      <c r="C263" s="5" t="s">
        <v>685</v>
      </c>
      <c r="D263" s="5" t="s">
        <v>62</v>
      </c>
      <c r="E263" s="5" t="s">
        <v>686</v>
      </c>
      <c r="F263" s="5" t="s">
        <v>687</v>
      </c>
      <c r="G263" s="10" t="n">
        <v>46286</v>
      </c>
      <c r="H263" s="10" t="n">
        <v>46326</v>
      </c>
      <c r="I263" s="6" t="n">
        <v>65.24</v>
      </c>
      <c r="J263" s="5" t="n">
        <f aca="false">IF(H263="","",MAX(0,Summary!$B$2-H263))</f>
        <v>0</v>
      </c>
      <c r="K263" s="5" t="str">
        <f aca="false">IF(J263="","No due date",IF(J263=0,"Not due",IF(J263&lt;=30,"1-30",IF(J263&lt;=60,"31-60",IF(J263&lt;=90,"61-90","90+")))))</f>
        <v>Not due</v>
      </c>
      <c r="L263" s="5" t="s">
        <v>444</v>
      </c>
      <c r="M263" s="10" t="n">
        <v>46316</v>
      </c>
    </row>
    <row r="264" customFormat="false" ht="15" hidden="false" customHeight="false" outlineLevel="0" collapsed="false">
      <c r="A264" s="5" t="s">
        <v>26</v>
      </c>
      <c r="B264" s="5" t="s">
        <v>27</v>
      </c>
      <c r="C264" s="5" t="s">
        <v>688</v>
      </c>
      <c r="D264" s="5" t="s">
        <v>62</v>
      </c>
      <c r="E264" s="5" t="s">
        <v>689</v>
      </c>
      <c r="F264" s="5" t="s">
        <v>690</v>
      </c>
      <c r="G264" s="10" t="n">
        <v>46293</v>
      </c>
      <c r="H264" s="10" t="n">
        <v>46326</v>
      </c>
      <c r="I264" s="6" t="n">
        <v>254.24</v>
      </c>
      <c r="J264" s="5" t="n">
        <f aca="false">IF(H264="","",MAX(0,Summary!$B$2-H264))</f>
        <v>0</v>
      </c>
      <c r="K264" s="5" t="str">
        <f aca="false">IF(J264="","No due date",IF(J264=0,"Not due",IF(J264&lt;=30,"1-30",IF(J264&lt;=60,"31-60",IF(J264&lt;=90,"61-90","90+")))))</f>
        <v>Not due</v>
      </c>
      <c r="L264" s="5" t="s">
        <v>444</v>
      </c>
      <c r="M264" s="10" t="n">
        <v>46316</v>
      </c>
    </row>
    <row r="265" customFormat="false" ht="15" hidden="false" customHeight="false" outlineLevel="0" collapsed="false">
      <c r="A265" s="5" t="s">
        <v>26</v>
      </c>
      <c r="B265" s="5" t="s">
        <v>27</v>
      </c>
      <c r="C265" s="5" t="s">
        <v>691</v>
      </c>
      <c r="D265" s="5" t="s">
        <v>62</v>
      </c>
      <c r="E265" s="5" t="s">
        <v>692</v>
      </c>
      <c r="F265" s="5" t="s">
        <v>690</v>
      </c>
      <c r="G265" s="10" t="n">
        <v>46293</v>
      </c>
      <c r="H265" s="10" t="n">
        <v>46326</v>
      </c>
      <c r="I265" s="6" t="n">
        <v>65.24</v>
      </c>
      <c r="J265" s="5" t="n">
        <f aca="false">IF(H265="","",MAX(0,Summary!$B$2-H265))</f>
        <v>0</v>
      </c>
      <c r="K265" s="5" t="str">
        <f aca="false">IF(J265="","No due date",IF(J265=0,"Not due",IF(J265&lt;=30,"1-30",IF(J265&lt;=60,"31-60",IF(J265&lt;=90,"61-90","90+")))))</f>
        <v>Not due</v>
      </c>
      <c r="L265" s="5" t="s">
        <v>444</v>
      </c>
      <c r="M265" s="10" t="n">
        <v>46316</v>
      </c>
    </row>
    <row r="266" customFormat="false" ht="15" hidden="false" customHeight="false" outlineLevel="0" collapsed="false">
      <c r="A266" s="5" t="s">
        <v>26</v>
      </c>
      <c r="B266" s="5" t="s">
        <v>27</v>
      </c>
      <c r="C266" s="5" t="s">
        <v>693</v>
      </c>
      <c r="D266" s="5" t="s">
        <v>62</v>
      </c>
      <c r="E266" s="5" t="s">
        <v>694</v>
      </c>
      <c r="F266" s="5" t="s">
        <v>684</v>
      </c>
      <c r="G266" s="10" t="n">
        <v>46295</v>
      </c>
      <c r="H266" s="10" t="n">
        <v>46326</v>
      </c>
      <c r="I266" s="6" t="n">
        <v>275</v>
      </c>
      <c r="J266" s="5" t="n">
        <f aca="false">IF(H266="","",MAX(0,Summary!$B$2-H266))</f>
        <v>0</v>
      </c>
      <c r="K266" s="5" t="str">
        <f aca="false">IF(J266="","No due date",IF(J266=0,"Not due",IF(J266&lt;=30,"1-30",IF(J266&lt;=60,"31-60",IF(J266&lt;=90,"61-90","90+")))))</f>
        <v>Not due</v>
      </c>
      <c r="L266" s="5" t="s">
        <v>444</v>
      </c>
      <c r="M266" s="10" t="n">
        <v>46316</v>
      </c>
    </row>
    <row r="267" customFormat="false" ht="15" hidden="false" customHeight="false" outlineLevel="0" collapsed="false">
      <c r="A267" s="5" t="s">
        <v>26</v>
      </c>
      <c r="B267" s="5" t="s">
        <v>27</v>
      </c>
      <c r="C267" s="5" t="s">
        <v>695</v>
      </c>
      <c r="D267" s="5" t="s">
        <v>62</v>
      </c>
      <c r="E267" s="5" t="s">
        <v>696</v>
      </c>
      <c r="F267" s="5" t="s">
        <v>690</v>
      </c>
      <c r="G267" s="10" t="n">
        <v>46295</v>
      </c>
      <c r="H267" s="10" t="n">
        <v>46326</v>
      </c>
      <c r="I267" s="6" t="n">
        <v>145</v>
      </c>
      <c r="J267" s="5" t="n">
        <f aca="false">IF(H267="","",MAX(0,Summary!$B$2-H267))</f>
        <v>0</v>
      </c>
      <c r="K267" s="5" t="str">
        <f aca="false">IF(J267="","No due date",IF(J267=0,"Not due",IF(J267&lt;=30,"1-30",IF(J267&lt;=60,"31-60",IF(J267&lt;=90,"61-90","90+")))))</f>
        <v>Not due</v>
      </c>
      <c r="L267" s="5" t="s">
        <v>444</v>
      </c>
      <c r="M267" s="10" t="n">
        <v>46316</v>
      </c>
    </row>
    <row r="268" customFormat="false" ht="15" hidden="false" customHeight="false" outlineLevel="0" collapsed="false">
      <c r="A268" s="5" t="s">
        <v>35</v>
      </c>
      <c r="B268" s="5"/>
      <c r="C268" s="5" t="s">
        <v>697</v>
      </c>
      <c r="D268" s="5" t="s">
        <v>62</v>
      </c>
      <c r="E268" s="5" t="s">
        <v>698</v>
      </c>
      <c r="F268" s="5" t="s">
        <v>699</v>
      </c>
      <c r="G268" s="10" t="n">
        <v>46141</v>
      </c>
      <c r="H268" s="10" t="n">
        <v>46171</v>
      </c>
      <c r="I268" s="6" t="n">
        <v>61.6</v>
      </c>
      <c r="J268" s="5" t="n">
        <f aca="false">IF(H268="","",MAX(0,Summary!$B$2-H268))</f>
        <v>147</v>
      </c>
      <c r="K268" s="5" t="str">
        <f aca="false">IF(J268="","No due date",IF(J268=0,"Not due",IF(J268&lt;=30,"1-30",IF(J268&lt;=60,"31-60",IF(J268&lt;=90,"61-90","90+")))))</f>
        <v>90+</v>
      </c>
      <c r="L268" s="5" t="s">
        <v>700</v>
      </c>
      <c r="M268" s="10" t="n">
        <v>46316</v>
      </c>
    </row>
    <row r="269" customFormat="false" ht="15" hidden="false" customHeight="false" outlineLevel="0" collapsed="false">
      <c r="A269" s="5" t="s">
        <v>35</v>
      </c>
      <c r="B269" s="5"/>
      <c r="C269" s="5" t="s">
        <v>701</v>
      </c>
      <c r="D269" s="5" t="s">
        <v>62</v>
      </c>
      <c r="E269" s="5" t="s">
        <v>702</v>
      </c>
      <c r="F269" s="5" t="s">
        <v>703</v>
      </c>
      <c r="G269" s="10" t="n">
        <v>46274</v>
      </c>
      <c r="H269" s="10" t="n">
        <v>46304</v>
      </c>
      <c r="I269" s="6" t="n">
        <v>73.7</v>
      </c>
      <c r="J269" s="5" t="n">
        <f aca="false">IF(H269="","",MAX(0,Summary!$B$2-H269))</f>
        <v>14</v>
      </c>
      <c r="K269" s="5" t="str">
        <f aca="false">IF(J269="","No due date",IF(J269=0,"Not due",IF(J269&lt;=30,"1-30",IF(J269&lt;=60,"31-60",IF(J269&lt;=90,"61-90","90+")))))</f>
        <v>1-30</v>
      </c>
      <c r="L269" s="5" t="s">
        <v>700</v>
      </c>
      <c r="M269" s="10" t="n">
        <v>46316</v>
      </c>
    </row>
    <row r="270" customFormat="false" ht="15" hidden="false" customHeight="false" outlineLevel="0" collapsed="false">
      <c r="A270" s="5" t="s">
        <v>14</v>
      </c>
      <c r="B270" s="5"/>
      <c r="C270" s="5" t="s">
        <v>704</v>
      </c>
      <c r="D270" s="5" t="s">
        <v>62</v>
      </c>
      <c r="E270" s="5" t="s">
        <v>705</v>
      </c>
      <c r="F270" s="5" t="s">
        <v>706</v>
      </c>
      <c r="G270" s="10" t="n">
        <v>46293</v>
      </c>
      <c r="H270" s="10" t="n">
        <v>46323</v>
      </c>
      <c r="I270" s="6" t="n">
        <v>57.93</v>
      </c>
      <c r="J270" s="5" t="n">
        <f aca="false">IF(H270="","",MAX(0,Summary!$B$2-H270))</f>
        <v>0</v>
      </c>
      <c r="K270" s="5" t="str">
        <f aca="false">IF(J270="","No due date",IF(J270=0,"Not due",IF(J270&lt;=30,"1-30",IF(J270&lt;=60,"31-60",IF(J270&lt;=90,"61-90","90+")))))</f>
        <v>Not due</v>
      </c>
      <c r="L270" s="5" t="s">
        <v>444</v>
      </c>
      <c r="M270" s="10" t="n">
        <v>46318</v>
      </c>
    </row>
    <row r="271" customFormat="false" ht="15" hidden="false" customHeight="false" outlineLevel="0" collapsed="false">
      <c r="A271" s="5" t="s">
        <v>14</v>
      </c>
      <c r="B271" s="5"/>
      <c r="C271" s="5" t="s">
        <v>707</v>
      </c>
      <c r="D271" s="5" t="s">
        <v>62</v>
      </c>
      <c r="E271" s="5" t="s">
        <v>708</v>
      </c>
      <c r="F271" s="5" t="s">
        <v>709</v>
      </c>
      <c r="G271" s="10" t="n">
        <v>46293</v>
      </c>
      <c r="H271" s="10" t="n">
        <v>46323</v>
      </c>
      <c r="I271" s="6" t="n">
        <v>131.36</v>
      </c>
      <c r="J271" s="5" t="n">
        <f aca="false">IF(H271="","",MAX(0,Summary!$B$2-H271))</f>
        <v>0</v>
      </c>
      <c r="K271" s="5" t="str">
        <f aca="false">IF(J271="","No due date",IF(J271=0,"Not due",IF(J271&lt;=30,"1-30",IF(J271&lt;=60,"31-60",IF(J271&lt;=90,"61-90","90+")))))</f>
        <v>Not due</v>
      </c>
      <c r="L271" s="5" t="s">
        <v>444</v>
      </c>
      <c r="M271" s="10" t="n">
        <v>46318</v>
      </c>
    </row>
    <row r="272" customFormat="false" ht="15" hidden="false" customHeight="false" outlineLevel="0" collapsed="false">
      <c r="A272" s="5" t="s">
        <v>14</v>
      </c>
      <c r="B272" s="5"/>
      <c r="C272" s="5" t="s">
        <v>710</v>
      </c>
      <c r="D272" s="5" t="s">
        <v>62</v>
      </c>
      <c r="E272" s="5" t="s">
        <v>711</v>
      </c>
      <c r="F272" s="5" t="s">
        <v>712</v>
      </c>
      <c r="G272" s="10" t="n">
        <v>46294</v>
      </c>
      <c r="H272" s="10" t="n">
        <v>46324</v>
      </c>
      <c r="I272" s="6" t="n">
        <v>2850.98</v>
      </c>
      <c r="J272" s="5" t="n">
        <f aca="false">IF(H272="","",MAX(0,Summary!$B$2-H272))</f>
        <v>0</v>
      </c>
      <c r="K272" s="5" t="str">
        <f aca="false">IF(J272="","No due date",IF(J272=0,"Not due",IF(J272&lt;=30,"1-30",IF(J272&lt;=60,"31-60",IF(J272&lt;=90,"61-90","90+")))))</f>
        <v>Not due</v>
      </c>
      <c r="L272" s="5" t="s">
        <v>444</v>
      </c>
      <c r="M272" s="10" t="n">
        <v>46318</v>
      </c>
    </row>
    <row r="273" customFormat="false" ht="15" hidden="false" customHeight="false" outlineLevel="0" collapsed="false">
      <c r="A273" s="5" t="s">
        <v>14</v>
      </c>
      <c r="B273" s="5"/>
      <c r="C273" s="5" t="s">
        <v>713</v>
      </c>
      <c r="D273" s="5" t="s">
        <v>62</v>
      </c>
      <c r="E273" s="5" t="s">
        <v>714</v>
      </c>
      <c r="F273" s="5" t="s">
        <v>715</v>
      </c>
      <c r="G273" s="10" t="n">
        <v>46294</v>
      </c>
      <c r="H273" s="10" t="n">
        <v>46324</v>
      </c>
      <c r="I273" s="6" t="n">
        <v>63.71</v>
      </c>
      <c r="J273" s="5" t="n">
        <f aca="false">IF(H273="","",MAX(0,Summary!$B$2-H273))</f>
        <v>0</v>
      </c>
      <c r="K273" s="5" t="str">
        <f aca="false">IF(J273="","No due date",IF(J273=0,"Not due",IF(J273&lt;=30,"1-30",IF(J273&lt;=60,"31-60",IF(J273&lt;=90,"61-90","90+")))))</f>
        <v>Not due</v>
      </c>
      <c r="L273" s="5" t="s">
        <v>444</v>
      </c>
      <c r="M273" s="10" t="n">
        <v>46318</v>
      </c>
    </row>
    <row r="274" customFormat="false" ht="15" hidden="false" customHeight="false" outlineLevel="0" collapsed="false">
      <c r="A274" s="5" t="s">
        <v>14</v>
      </c>
      <c r="B274" s="5"/>
      <c r="C274" s="5" t="s">
        <v>716</v>
      </c>
      <c r="D274" s="5" t="s">
        <v>62</v>
      </c>
      <c r="E274" s="5" t="s">
        <v>717</v>
      </c>
      <c r="F274" s="5" t="s">
        <v>718</v>
      </c>
      <c r="G274" s="10" t="n">
        <v>46295</v>
      </c>
      <c r="H274" s="10" t="n">
        <v>46325</v>
      </c>
      <c r="I274" s="6" t="n">
        <v>56.25</v>
      </c>
      <c r="J274" s="5" t="n">
        <f aca="false">IF(H274="","",MAX(0,Summary!$B$2-H274))</f>
        <v>0</v>
      </c>
      <c r="K274" s="5" t="str">
        <f aca="false">IF(J274="","No due date",IF(J274=0,"Not due",IF(J274&lt;=30,"1-30",IF(J274&lt;=60,"31-60",IF(J274&lt;=90,"61-90","90+")))))</f>
        <v>Not due</v>
      </c>
      <c r="L274" s="5" t="s">
        <v>444</v>
      </c>
      <c r="M274" s="10" t="n">
        <v>46318</v>
      </c>
    </row>
    <row r="275" customFormat="false" ht="15" hidden="false" customHeight="false" outlineLevel="0" collapsed="false">
      <c r="A275" s="5" t="s">
        <v>14</v>
      </c>
      <c r="B275" s="5"/>
      <c r="C275" s="5" t="s">
        <v>719</v>
      </c>
      <c r="D275" s="5" t="s">
        <v>62</v>
      </c>
      <c r="E275" s="5" t="s">
        <v>720</v>
      </c>
      <c r="F275" s="5" t="s">
        <v>721</v>
      </c>
      <c r="G275" s="10" t="n">
        <v>46295</v>
      </c>
      <c r="H275" s="10" t="n">
        <v>46325</v>
      </c>
      <c r="I275" s="6" t="n">
        <v>201.8</v>
      </c>
      <c r="J275" s="5" t="n">
        <f aca="false">IF(H275="","",MAX(0,Summary!$B$2-H275))</f>
        <v>0</v>
      </c>
      <c r="K275" s="5" t="str">
        <f aca="false">IF(J275="","No due date",IF(J275=0,"Not due",IF(J275&lt;=30,"1-30",IF(J275&lt;=60,"31-60",IF(J275&lt;=90,"61-90","90+")))))</f>
        <v>Not due</v>
      </c>
      <c r="L275" s="5" t="s">
        <v>444</v>
      </c>
      <c r="M275" s="10" t="n">
        <v>46318</v>
      </c>
    </row>
    <row r="276" customFormat="false" ht="15" hidden="false" customHeight="false" outlineLevel="0" collapsed="false">
      <c r="A276" s="5" t="s">
        <v>14</v>
      </c>
      <c r="B276" s="5"/>
      <c r="C276" s="5" t="s">
        <v>722</v>
      </c>
      <c r="D276" s="5" t="s">
        <v>62</v>
      </c>
      <c r="E276" s="5" t="s">
        <v>723</v>
      </c>
      <c r="F276" s="5" t="s">
        <v>724</v>
      </c>
      <c r="G276" s="10" t="n">
        <v>46295</v>
      </c>
      <c r="H276" s="10" t="n">
        <v>46325</v>
      </c>
      <c r="I276" s="6" t="n">
        <v>135.41</v>
      </c>
      <c r="J276" s="5" t="n">
        <f aca="false">IF(H276="","",MAX(0,Summary!$B$2-H276))</f>
        <v>0</v>
      </c>
      <c r="K276" s="5" t="str">
        <f aca="false">IF(J276="","No due date",IF(J276=0,"Not due",IF(J276&lt;=30,"1-30",IF(J276&lt;=60,"31-60",IF(J276&lt;=90,"61-90","90+")))))</f>
        <v>Not due</v>
      </c>
      <c r="L276" s="5" t="s">
        <v>444</v>
      </c>
      <c r="M276" s="10" t="n">
        <v>46318</v>
      </c>
    </row>
    <row r="277" customFormat="false" ht="15" hidden="false" customHeight="false" outlineLevel="0" collapsed="false">
      <c r="A277" s="5" t="s">
        <v>14</v>
      </c>
      <c r="B277" s="5"/>
      <c r="C277" s="5" t="s">
        <v>725</v>
      </c>
      <c r="D277" s="5" t="s">
        <v>62</v>
      </c>
      <c r="E277" s="5" t="s">
        <v>726</v>
      </c>
      <c r="F277" s="5" t="s">
        <v>727</v>
      </c>
      <c r="G277" s="10" t="n">
        <v>46297</v>
      </c>
      <c r="H277" s="10" t="n">
        <v>46327</v>
      </c>
      <c r="I277" s="6" t="n">
        <v>2984.88</v>
      </c>
      <c r="J277" s="5" t="n">
        <f aca="false">IF(H277="","",MAX(0,Summary!$B$2-H277))</f>
        <v>0</v>
      </c>
      <c r="K277" s="5" t="str">
        <f aca="false">IF(J277="","No due date",IF(J277=0,"Not due",IF(J277&lt;=30,"1-30",IF(J277&lt;=60,"31-60",IF(J277&lt;=90,"61-90","90+")))))</f>
        <v>Not due</v>
      </c>
      <c r="L277" s="5"/>
      <c r="M277" s="10" t="n">
        <v>46318</v>
      </c>
    </row>
  </sheetData>
  <autoFilter ref="A1:M2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0" min="10" style="0" width="40"/>
    <col collapsed="false" customWidth="true" hidden="false" outlineLevel="0" max="11" min="11" style="0" width="16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2" t="s">
        <v>728</v>
      </c>
    </row>
    <row r="3" customFormat="false" ht="39.55" hidden="false" customHeight="false" outlineLevel="0" collapsed="false">
      <c r="A3" s="4" t="s">
        <v>2</v>
      </c>
      <c r="B3" s="4" t="s">
        <v>3</v>
      </c>
      <c r="C3" s="4" t="s">
        <v>50</v>
      </c>
      <c r="D3" s="4" t="s">
        <v>52</v>
      </c>
      <c r="E3" s="4" t="s">
        <v>53</v>
      </c>
      <c r="F3" s="4" t="s">
        <v>54</v>
      </c>
      <c r="G3" s="4" t="s">
        <v>56</v>
      </c>
      <c r="H3" s="4" t="s">
        <v>729</v>
      </c>
      <c r="I3" s="4" t="s">
        <v>730</v>
      </c>
      <c r="J3" s="4" t="s">
        <v>731</v>
      </c>
      <c r="K3" s="4" t="s">
        <v>732</v>
      </c>
      <c r="L3" s="4" t="s">
        <v>733</v>
      </c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734</v>
      </c>
      <c r="D4" s="5" t="s">
        <v>735</v>
      </c>
      <c r="E4" s="5" t="s">
        <v>78</v>
      </c>
      <c r="F4" s="10" t="n">
        <v>46074</v>
      </c>
      <c r="G4" s="6" t="n">
        <v>76.95</v>
      </c>
      <c r="H4" s="5" t="s">
        <v>736</v>
      </c>
      <c r="I4" s="10" t="n">
        <v>46246</v>
      </c>
      <c r="J4" s="5" t="s">
        <v>737</v>
      </c>
      <c r="K4" s="11" t="s">
        <v>738</v>
      </c>
      <c r="L4" s="11" t="s">
        <v>739</v>
      </c>
    </row>
    <row r="5" customFormat="false" ht="15" hidden="false" customHeight="false" outlineLevel="0" collapsed="false">
      <c r="A5" s="5" t="s">
        <v>16</v>
      </c>
      <c r="B5" s="5" t="s">
        <v>17</v>
      </c>
      <c r="C5" s="5" t="s">
        <v>740</v>
      </c>
      <c r="D5" s="5" t="s">
        <v>741</v>
      </c>
      <c r="E5" s="5" t="s">
        <v>742</v>
      </c>
      <c r="F5" s="10" t="n">
        <v>46007</v>
      </c>
      <c r="G5" s="6" t="n">
        <v>171.12</v>
      </c>
      <c r="H5" s="5" t="s">
        <v>736</v>
      </c>
      <c r="I5" s="10" t="n">
        <v>46063</v>
      </c>
      <c r="J5" s="5" t="s">
        <v>743</v>
      </c>
      <c r="K5" s="11" t="s">
        <v>744</v>
      </c>
      <c r="L5" s="11" t="s">
        <v>745</v>
      </c>
    </row>
    <row r="6" customFormat="false" ht="15" hidden="false" customHeight="false" outlineLevel="0" collapsed="false">
      <c r="A6" s="5" t="s">
        <v>16</v>
      </c>
      <c r="B6" s="5" t="s">
        <v>17</v>
      </c>
      <c r="C6" s="5" t="s">
        <v>746</v>
      </c>
      <c r="D6" s="5" t="s">
        <v>747</v>
      </c>
      <c r="E6" s="5" t="s">
        <v>748</v>
      </c>
      <c r="F6" s="10" t="n">
        <v>46153</v>
      </c>
      <c r="G6" s="6" t="n">
        <v>31.78</v>
      </c>
      <c r="H6" s="5" t="s">
        <v>736</v>
      </c>
      <c r="I6" s="10" t="n">
        <v>46063</v>
      </c>
      <c r="J6" s="5" t="s">
        <v>749</v>
      </c>
      <c r="K6" s="11" t="s">
        <v>750</v>
      </c>
      <c r="L6" s="11" t="s">
        <v>751</v>
      </c>
    </row>
    <row r="7" customFormat="false" ht="15" hidden="false" customHeight="false" outlineLevel="0" collapsed="false">
      <c r="A7" s="5" t="s">
        <v>16</v>
      </c>
      <c r="B7" s="5" t="s">
        <v>17</v>
      </c>
      <c r="C7" s="5" t="s">
        <v>752</v>
      </c>
      <c r="D7" s="5" t="s">
        <v>753</v>
      </c>
      <c r="E7" s="5" t="s">
        <v>438</v>
      </c>
      <c r="F7" s="10" t="n">
        <v>46287</v>
      </c>
      <c r="G7" s="6" t="n">
        <v>85.8</v>
      </c>
      <c r="H7" s="5" t="s">
        <v>736</v>
      </c>
      <c r="I7" s="10" t="n">
        <v>46304</v>
      </c>
      <c r="J7" s="5" t="s">
        <v>754</v>
      </c>
      <c r="K7" s="11" t="s">
        <v>755</v>
      </c>
      <c r="L7" s="11" t="s">
        <v>756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757</v>
      </c>
      <c r="D8" s="5" t="s">
        <v>758</v>
      </c>
      <c r="E8" s="5" t="s">
        <v>759</v>
      </c>
      <c r="F8" s="10" t="n">
        <v>46139</v>
      </c>
      <c r="G8" s="6" t="n">
        <v>216.88</v>
      </c>
      <c r="H8" s="5" t="s">
        <v>760</v>
      </c>
      <c r="I8" s="10"/>
      <c r="J8" s="5" t="s">
        <v>761</v>
      </c>
      <c r="K8" s="11" t="s">
        <v>762</v>
      </c>
      <c r="L8" s="11" t="s">
        <v>763</v>
      </c>
    </row>
    <row r="9" customFormat="false" ht="15" hidden="false" customHeight="false" outlineLevel="0" collapsed="false">
      <c r="A9" s="5" t="s">
        <v>12</v>
      </c>
      <c r="B9" s="5" t="s">
        <v>13</v>
      </c>
      <c r="C9" s="5" t="s">
        <v>764</v>
      </c>
      <c r="D9" s="5" t="s">
        <v>765</v>
      </c>
      <c r="E9" s="5" t="s">
        <v>766</v>
      </c>
      <c r="F9" s="10" t="n">
        <v>46153</v>
      </c>
      <c r="G9" s="6" t="n">
        <v>863</v>
      </c>
      <c r="H9" s="5" t="s">
        <v>760</v>
      </c>
      <c r="I9" s="10"/>
      <c r="J9" s="5" t="s">
        <v>761</v>
      </c>
      <c r="K9" s="11" t="s">
        <v>762</v>
      </c>
      <c r="L9" s="11" t="s">
        <v>763</v>
      </c>
    </row>
    <row r="10" customFormat="false" ht="15" hidden="false" customHeight="false" outlineLevel="0" collapsed="false">
      <c r="A10" s="5" t="s">
        <v>12</v>
      </c>
      <c r="B10" s="5" t="s">
        <v>13</v>
      </c>
      <c r="C10" s="5" t="s">
        <v>767</v>
      </c>
      <c r="D10" s="5" t="s">
        <v>768</v>
      </c>
      <c r="E10" s="5" t="s">
        <v>769</v>
      </c>
      <c r="F10" s="10" t="n">
        <v>46153</v>
      </c>
      <c r="G10" s="6" t="n">
        <v>340</v>
      </c>
      <c r="H10" s="5" t="s">
        <v>760</v>
      </c>
      <c r="I10" s="10"/>
      <c r="J10" s="5" t="s">
        <v>761</v>
      </c>
      <c r="K10" s="11" t="s">
        <v>762</v>
      </c>
      <c r="L10" s="11" t="s">
        <v>763</v>
      </c>
    </row>
    <row r="11" customFormat="false" ht="15" hidden="false" customHeight="false" outlineLevel="0" collapsed="false">
      <c r="A11" s="5" t="s">
        <v>12</v>
      </c>
      <c r="B11" s="5" t="s">
        <v>13</v>
      </c>
      <c r="C11" s="5" t="s">
        <v>770</v>
      </c>
      <c r="D11" s="5" t="s">
        <v>771</v>
      </c>
      <c r="E11" s="5" t="s">
        <v>769</v>
      </c>
      <c r="F11" s="10" t="n">
        <v>46153</v>
      </c>
      <c r="G11" s="6" t="n">
        <v>340</v>
      </c>
      <c r="H11" s="5" t="s">
        <v>760</v>
      </c>
      <c r="I11" s="10"/>
      <c r="J11" s="5" t="s">
        <v>761</v>
      </c>
      <c r="K11" s="11" t="s">
        <v>762</v>
      </c>
      <c r="L11" s="11" t="s">
        <v>763</v>
      </c>
    </row>
    <row r="12" customFormat="false" ht="15" hidden="false" customHeight="false" outlineLevel="0" collapsed="false">
      <c r="A12" s="5" t="s">
        <v>12</v>
      </c>
      <c r="B12" s="5" t="s">
        <v>13</v>
      </c>
      <c r="C12" s="5" t="s">
        <v>772</v>
      </c>
      <c r="D12" s="5" t="s">
        <v>773</v>
      </c>
      <c r="E12" s="5" t="s">
        <v>774</v>
      </c>
      <c r="F12" s="10" t="n">
        <v>46160</v>
      </c>
      <c r="G12" s="6" t="n">
        <v>2469.91</v>
      </c>
      <c r="H12" s="5" t="s">
        <v>760</v>
      </c>
      <c r="I12" s="10"/>
      <c r="J12" s="5" t="s">
        <v>761</v>
      </c>
      <c r="K12" s="11" t="s">
        <v>762</v>
      </c>
      <c r="L12" s="11" t="s">
        <v>763</v>
      </c>
    </row>
    <row r="13" customFormat="false" ht="15" hidden="false" customHeight="false" outlineLevel="0" collapsed="false">
      <c r="A13" s="5" t="s">
        <v>12</v>
      </c>
      <c r="B13" s="5" t="s">
        <v>13</v>
      </c>
      <c r="C13" s="5" t="s">
        <v>775</v>
      </c>
      <c r="D13" s="5" t="s">
        <v>776</v>
      </c>
      <c r="E13" s="5" t="s">
        <v>777</v>
      </c>
      <c r="F13" s="10" t="n">
        <v>46160</v>
      </c>
      <c r="G13" s="6" t="n">
        <v>300</v>
      </c>
      <c r="H13" s="5" t="s">
        <v>760</v>
      </c>
      <c r="I13" s="10"/>
      <c r="J13" s="5" t="s">
        <v>761</v>
      </c>
      <c r="K13" s="11" t="s">
        <v>762</v>
      </c>
      <c r="L13" s="11" t="s">
        <v>763</v>
      </c>
    </row>
    <row r="14" customFormat="false" ht="15" hidden="false" customHeight="false" outlineLevel="0" collapsed="false">
      <c r="A14" s="5" t="s">
        <v>12</v>
      </c>
      <c r="B14" s="5" t="s">
        <v>13</v>
      </c>
      <c r="C14" s="5" t="s">
        <v>778</v>
      </c>
      <c r="D14" s="5" t="s">
        <v>779</v>
      </c>
      <c r="E14" s="5" t="s">
        <v>777</v>
      </c>
      <c r="F14" s="10" t="n">
        <v>46160</v>
      </c>
      <c r="G14" s="6" t="n">
        <v>138.4</v>
      </c>
      <c r="H14" s="5" t="s">
        <v>760</v>
      </c>
      <c r="I14" s="10"/>
      <c r="J14" s="5" t="s">
        <v>761</v>
      </c>
      <c r="K14" s="11" t="s">
        <v>762</v>
      </c>
      <c r="L14" s="11" t="s">
        <v>763</v>
      </c>
    </row>
    <row r="15" customFormat="false" ht="15" hidden="false" customHeight="false" outlineLevel="0" collapsed="false">
      <c r="A15" s="5" t="s">
        <v>12</v>
      </c>
      <c r="B15" s="5" t="s">
        <v>13</v>
      </c>
      <c r="C15" s="5" t="s">
        <v>780</v>
      </c>
      <c r="D15" s="5" t="s">
        <v>781</v>
      </c>
      <c r="E15" s="5" t="s">
        <v>774</v>
      </c>
      <c r="F15" s="10" t="n">
        <v>46160</v>
      </c>
      <c r="G15" s="6" t="n">
        <v>211.81</v>
      </c>
      <c r="H15" s="5" t="s">
        <v>760</v>
      </c>
      <c r="I15" s="10"/>
      <c r="J15" s="5" t="s">
        <v>761</v>
      </c>
      <c r="K15" s="11" t="s">
        <v>762</v>
      </c>
      <c r="L15" s="11" t="s">
        <v>763</v>
      </c>
    </row>
    <row r="16" customFormat="false" ht="15" hidden="false" customHeight="false" outlineLevel="0" collapsed="false">
      <c r="A16" s="5" t="s">
        <v>12</v>
      </c>
      <c r="B16" s="5" t="s">
        <v>13</v>
      </c>
      <c r="C16" s="5" t="s">
        <v>782</v>
      </c>
      <c r="D16" s="5" t="s">
        <v>783</v>
      </c>
      <c r="E16" s="5" t="s">
        <v>774</v>
      </c>
      <c r="F16" s="10" t="n">
        <v>46160</v>
      </c>
      <c r="G16" s="6" t="n">
        <v>1129.76</v>
      </c>
      <c r="H16" s="5" t="s">
        <v>760</v>
      </c>
      <c r="I16" s="10"/>
      <c r="J16" s="5" t="s">
        <v>761</v>
      </c>
      <c r="K16" s="11" t="s">
        <v>762</v>
      </c>
      <c r="L16" s="11" t="s">
        <v>763</v>
      </c>
    </row>
    <row r="17" customFormat="false" ht="15" hidden="false" customHeight="false" outlineLevel="0" collapsed="false">
      <c r="A17" s="5" t="s">
        <v>12</v>
      </c>
      <c r="B17" s="5" t="s">
        <v>13</v>
      </c>
      <c r="C17" s="5" t="s">
        <v>784</v>
      </c>
      <c r="D17" s="5" t="s">
        <v>785</v>
      </c>
      <c r="E17" s="5" t="s">
        <v>777</v>
      </c>
      <c r="F17" s="10" t="n">
        <v>46162</v>
      </c>
      <c r="G17" s="6" t="n">
        <v>139.78</v>
      </c>
      <c r="H17" s="5" t="s">
        <v>760</v>
      </c>
      <c r="I17" s="10"/>
      <c r="J17" s="5" t="s">
        <v>761</v>
      </c>
      <c r="K17" s="11" t="s">
        <v>762</v>
      </c>
      <c r="L17" s="11" t="s">
        <v>763</v>
      </c>
    </row>
    <row r="18" customFormat="false" ht="15" hidden="false" customHeight="false" outlineLevel="0" collapsed="false">
      <c r="A18" s="5" t="s">
        <v>12</v>
      </c>
      <c r="B18" s="5" t="s">
        <v>13</v>
      </c>
      <c r="C18" s="5" t="s">
        <v>786</v>
      </c>
      <c r="D18" s="5" t="s">
        <v>787</v>
      </c>
      <c r="E18" s="5" t="s">
        <v>777</v>
      </c>
      <c r="F18" s="10" t="n">
        <v>46170</v>
      </c>
      <c r="G18" s="6" t="n">
        <v>485.13</v>
      </c>
      <c r="H18" s="5" t="s">
        <v>760</v>
      </c>
      <c r="I18" s="10"/>
      <c r="J18" s="5" t="s">
        <v>761</v>
      </c>
      <c r="K18" s="11" t="s">
        <v>762</v>
      </c>
      <c r="L18" s="11" t="s">
        <v>763</v>
      </c>
    </row>
    <row r="19" customFormat="false" ht="15" hidden="false" customHeight="false" outlineLevel="0" collapsed="false">
      <c r="A19" s="5" t="s">
        <v>12</v>
      </c>
      <c r="B19" s="5" t="s">
        <v>13</v>
      </c>
      <c r="C19" s="5" t="s">
        <v>788</v>
      </c>
      <c r="D19" s="5" t="s">
        <v>789</v>
      </c>
      <c r="E19" s="5" t="s">
        <v>605</v>
      </c>
      <c r="F19" s="10" t="n">
        <v>46198</v>
      </c>
      <c r="G19" s="6" t="n">
        <v>1068.45</v>
      </c>
      <c r="H19" s="5" t="s">
        <v>760</v>
      </c>
      <c r="I19" s="10"/>
      <c r="J19" s="5" t="s">
        <v>761</v>
      </c>
      <c r="K19" s="11" t="s">
        <v>762</v>
      </c>
      <c r="L19" s="11" t="s">
        <v>763</v>
      </c>
    </row>
    <row r="20" customFormat="false" ht="15" hidden="false" customHeight="false" outlineLevel="0" collapsed="false">
      <c r="A20" s="5" t="s">
        <v>12</v>
      </c>
      <c r="B20" s="5" t="s">
        <v>13</v>
      </c>
      <c r="C20" s="5" t="s">
        <v>790</v>
      </c>
      <c r="D20" s="5" t="s">
        <v>791</v>
      </c>
      <c r="E20" s="5" t="s">
        <v>792</v>
      </c>
      <c r="F20" s="10" t="n">
        <v>46198</v>
      </c>
      <c r="G20" s="6" t="n">
        <v>316.46</v>
      </c>
      <c r="H20" s="5" t="s">
        <v>760</v>
      </c>
      <c r="I20" s="10"/>
      <c r="J20" s="5" t="s">
        <v>761</v>
      </c>
      <c r="K20" s="11" t="s">
        <v>762</v>
      </c>
      <c r="L20" s="11" t="s">
        <v>763</v>
      </c>
    </row>
    <row r="21" customFormat="false" ht="15" hidden="false" customHeight="false" outlineLevel="0" collapsed="false">
      <c r="A21" s="5" t="s">
        <v>12</v>
      </c>
      <c r="B21" s="5" t="s">
        <v>13</v>
      </c>
      <c r="C21" s="5" t="s">
        <v>793</v>
      </c>
      <c r="D21" s="5" t="s">
        <v>794</v>
      </c>
      <c r="E21" s="5" t="s">
        <v>792</v>
      </c>
      <c r="F21" s="10" t="n">
        <v>46198</v>
      </c>
      <c r="G21" s="6" t="n">
        <v>309.58</v>
      </c>
      <c r="H21" s="5" t="s">
        <v>760</v>
      </c>
      <c r="I21" s="10"/>
      <c r="J21" s="5" t="s">
        <v>761</v>
      </c>
      <c r="K21" s="11" t="s">
        <v>762</v>
      </c>
      <c r="L21" s="11" t="s">
        <v>763</v>
      </c>
    </row>
    <row r="22" customFormat="false" ht="15" hidden="false" customHeight="false" outlineLevel="0" collapsed="false">
      <c r="A22" s="5" t="s">
        <v>12</v>
      </c>
      <c r="B22" s="5" t="s">
        <v>13</v>
      </c>
      <c r="C22" s="5" t="s">
        <v>795</v>
      </c>
      <c r="D22" s="5" t="s">
        <v>796</v>
      </c>
      <c r="E22" s="5" t="s">
        <v>605</v>
      </c>
      <c r="F22" s="10" t="n">
        <v>46198</v>
      </c>
      <c r="G22" s="6" t="n">
        <v>438.8</v>
      </c>
      <c r="H22" s="5" t="s">
        <v>760</v>
      </c>
      <c r="I22" s="10"/>
      <c r="J22" s="5" t="s">
        <v>761</v>
      </c>
      <c r="K22" s="11" t="s">
        <v>762</v>
      </c>
      <c r="L22" s="11" t="s">
        <v>763</v>
      </c>
    </row>
    <row r="23" customFormat="false" ht="15" hidden="false" customHeight="false" outlineLevel="0" collapsed="false">
      <c r="A23" s="5" t="s">
        <v>12</v>
      </c>
      <c r="B23" s="5" t="s">
        <v>13</v>
      </c>
      <c r="C23" s="5" t="s">
        <v>797</v>
      </c>
      <c r="D23" s="5" t="s">
        <v>798</v>
      </c>
      <c r="E23" s="5" t="s">
        <v>799</v>
      </c>
      <c r="F23" s="10" t="n">
        <v>46198</v>
      </c>
      <c r="G23" s="6" t="n">
        <v>350.4</v>
      </c>
      <c r="H23" s="5" t="s">
        <v>760</v>
      </c>
      <c r="I23" s="10"/>
      <c r="J23" s="5" t="s">
        <v>761</v>
      </c>
      <c r="K23" s="11" t="s">
        <v>762</v>
      </c>
      <c r="L23" s="11" t="s">
        <v>763</v>
      </c>
    </row>
    <row r="24" customFormat="false" ht="15" hidden="false" customHeight="false" outlineLevel="0" collapsed="false">
      <c r="A24" s="5" t="s">
        <v>12</v>
      </c>
      <c r="B24" s="5" t="s">
        <v>13</v>
      </c>
      <c r="C24" s="5" t="s">
        <v>800</v>
      </c>
      <c r="D24" s="5" t="s">
        <v>801</v>
      </c>
      <c r="E24" s="5" t="s">
        <v>802</v>
      </c>
      <c r="F24" s="10" t="n">
        <v>46198</v>
      </c>
      <c r="G24" s="6" t="n">
        <v>149.16</v>
      </c>
      <c r="H24" s="5" t="s">
        <v>760</v>
      </c>
      <c r="I24" s="10"/>
      <c r="J24" s="5" t="s">
        <v>761</v>
      </c>
      <c r="K24" s="11" t="s">
        <v>762</v>
      </c>
      <c r="L24" s="11" t="s">
        <v>763</v>
      </c>
    </row>
    <row r="25" customFormat="false" ht="15" hidden="false" customHeight="false" outlineLevel="0" collapsed="false">
      <c r="A25" s="5" t="s">
        <v>12</v>
      </c>
      <c r="B25" s="5" t="s">
        <v>13</v>
      </c>
      <c r="C25" s="5" t="s">
        <v>803</v>
      </c>
      <c r="D25" s="5" t="s">
        <v>804</v>
      </c>
      <c r="E25" s="5" t="s">
        <v>792</v>
      </c>
      <c r="F25" s="10" t="n">
        <v>46198</v>
      </c>
      <c r="G25" s="6" t="n">
        <v>309.58</v>
      </c>
      <c r="H25" s="5" t="s">
        <v>760</v>
      </c>
      <c r="I25" s="10"/>
      <c r="J25" s="5" t="s">
        <v>761</v>
      </c>
      <c r="K25" s="11" t="s">
        <v>762</v>
      </c>
      <c r="L25" s="11" t="s">
        <v>763</v>
      </c>
    </row>
    <row r="26" customFormat="false" ht="15" hidden="false" customHeight="false" outlineLevel="0" collapsed="false">
      <c r="A26" s="5" t="s">
        <v>12</v>
      </c>
      <c r="B26" s="5" t="s">
        <v>13</v>
      </c>
      <c r="C26" s="5" t="s">
        <v>805</v>
      </c>
      <c r="D26" s="5" t="s">
        <v>806</v>
      </c>
      <c r="E26" s="5" t="s">
        <v>605</v>
      </c>
      <c r="F26" s="10" t="n">
        <v>46198</v>
      </c>
      <c r="G26" s="6" t="n">
        <v>837.52</v>
      </c>
      <c r="H26" s="5" t="s">
        <v>760</v>
      </c>
      <c r="I26" s="10"/>
      <c r="J26" s="5" t="s">
        <v>761</v>
      </c>
      <c r="K26" s="11" t="s">
        <v>762</v>
      </c>
      <c r="L26" s="11" t="s">
        <v>763</v>
      </c>
    </row>
    <row r="27" customFormat="false" ht="15" hidden="false" customHeight="false" outlineLevel="0" collapsed="false">
      <c r="A27" s="5" t="s">
        <v>12</v>
      </c>
      <c r="B27" s="5" t="s">
        <v>13</v>
      </c>
      <c r="C27" s="5" t="s">
        <v>807</v>
      </c>
      <c r="D27" s="5" t="s">
        <v>808</v>
      </c>
      <c r="E27" s="5" t="s">
        <v>605</v>
      </c>
      <c r="F27" s="10" t="n">
        <v>46198</v>
      </c>
      <c r="G27" s="6" t="n">
        <v>610.85</v>
      </c>
      <c r="H27" s="5" t="s">
        <v>760</v>
      </c>
      <c r="I27" s="10"/>
      <c r="J27" s="5" t="s">
        <v>761</v>
      </c>
      <c r="K27" s="11" t="s">
        <v>762</v>
      </c>
      <c r="L27" s="11" t="s">
        <v>763</v>
      </c>
    </row>
    <row r="28" customFormat="false" ht="15" hidden="false" customHeight="false" outlineLevel="0" collapsed="false">
      <c r="A28" s="5" t="s">
        <v>12</v>
      </c>
      <c r="B28" s="5" t="s">
        <v>13</v>
      </c>
      <c r="C28" s="5" t="s">
        <v>809</v>
      </c>
      <c r="D28" s="5" t="s">
        <v>810</v>
      </c>
      <c r="E28" s="5" t="s">
        <v>811</v>
      </c>
      <c r="F28" s="10" t="n">
        <v>46198</v>
      </c>
      <c r="G28" s="6" t="n">
        <v>1617.71</v>
      </c>
      <c r="H28" s="5" t="s">
        <v>760</v>
      </c>
      <c r="I28" s="10"/>
      <c r="J28" s="5" t="s">
        <v>761</v>
      </c>
      <c r="K28" s="11" t="s">
        <v>762</v>
      </c>
      <c r="L28" s="11" t="s">
        <v>763</v>
      </c>
    </row>
    <row r="29" customFormat="false" ht="15" hidden="false" customHeight="false" outlineLevel="0" collapsed="false">
      <c r="A29" s="5" t="s">
        <v>12</v>
      </c>
      <c r="B29" s="5" t="s">
        <v>13</v>
      </c>
      <c r="C29" s="5" t="s">
        <v>812</v>
      </c>
      <c r="D29" s="5" t="s">
        <v>813</v>
      </c>
      <c r="E29" s="5" t="s">
        <v>792</v>
      </c>
      <c r="F29" s="10" t="n">
        <v>46198</v>
      </c>
      <c r="G29" s="6" t="n">
        <v>300</v>
      </c>
      <c r="H29" s="5" t="s">
        <v>760</v>
      </c>
      <c r="I29" s="10"/>
      <c r="J29" s="5" t="s">
        <v>761</v>
      </c>
      <c r="K29" s="11" t="s">
        <v>762</v>
      </c>
      <c r="L29" s="11" t="s">
        <v>763</v>
      </c>
    </row>
    <row r="30" customFormat="false" ht="15" hidden="false" customHeight="false" outlineLevel="0" collapsed="false">
      <c r="A30" s="5" t="s">
        <v>12</v>
      </c>
      <c r="B30" s="5" t="s">
        <v>13</v>
      </c>
      <c r="C30" s="5" t="s">
        <v>814</v>
      </c>
      <c r="D30" s="5" t="s">
        <v>815</v>
      </c>
      <c r="E30" s="5" t="s">
        <v>792</v>
      </c>
      <c r="F30" s="10" t="n">
        <v>46198</v>
      </c>
      <c r="G30" s="6" t="n">
        <v>527.8</v>
      </c>
      <c r="H30" s="5" t="s">
        <v>760</v>
      </c>
      <c r="I30" s="10"/>
      <c r="J30" s="5" t="s">
        <v>761</v>
      </c>
      <c r="K30" s="11" t="s">
        <v>762</v>
      </c>
      <c r="L30" s="11" t="s">
        <v>763</v>
      </c>
    </row>
    <row r="31" customFormat="false" ht="15" hidden="false" customHeight="false" outlineLevel="0" collapsed="false">
      <c r="A31" s="5" t="s">
        <v>12</v>
      </c>
      <c r="B31" s="5" t="s">
        <v>13</v>
      </c>
      <c r="C31" s="5" t="s">
        <v>816</v>
      </c>
      <c r="D31" s="5" t="s">
        <v>817</v>
      </c>
      <c r="E31" s="5" t="s">
        <v>792</v>
      </c>
      <c r="F31" s="10" t="n">
        <v>46198</v>
      </c>
      <c r="G31" s="6" t="n">
        <v>494.11</v>
      </c>
      <c r="H31" s="5" t="s">
        <v>760</v>
      </c>
      <c r="I31" s="10"/>
      <c r="J31" s="5" t="s">
        <v>761</v>
      </c>
      <c r="K31" s="11" t="s">
        <v>762</v>
      </c>
      <c r="L31" s="11" t="s">
        <v>763</v>
      </c>
    </row>
    <row r="32" customFormat="false" ht="15" hidden="false" customHeight="false" outlineLevel="0" collapsed="false">
      <c r="A32" s="5" t="s">
        <v>12</v>
      </c>
      <c r="B32" s="5" t="s">
        <v>13</v>
      </c>
      <c r="C32" s="5" t="s">
        <v>818</v>
      </c>
      <c r="D32" s="5" t="s">
        <v>819</v>
      </c>
      <c r="E32" s="5" t="s">
        <v>792</v>
      </c>
      <c r="F32" s="10" t="n">
        <v>46198</v>
      </c>
      <c r="G32" s="6" t="n">
        <v>300</v>
      </c>
      <c r="H32" s="5" t="s">
        <v>760</v>
      </c>
      <c r="I32" s="10"/>
      <c r="J32" s="5" t="s">
        <v>761</v>
      </c>
      <c r="K32" s="11" t="s">
        <v>762</v>
      </c>
      <c r="L32" s="11" t="s">
        <v>763</v>
      </c>
    </row>
    <row r="33" customFormat="false" ht="15" hidden="false" customHeight="false" outlineLevel="0" collapsed="false">
      <c r="A33" s="5" t="s">
        <v>12</v>
      </c>
      <c r="B33" s="5" t="s">
        <v>13</v>
      </c>
      <c r="C33" s="5" t="s">
        <v>820</v>
      </c>
      <c r="D33" s="5" t="s">
        <v>821</v>
      </c>
      <c r="E33" s="5" t="s">
        <v>605</v>
      </c>
      <c r="F33" s="10" t="n">
        <v>46198</v>
      </c>
      <c r="G33" s="6" t="n">
        <v>504.19</v>
      </c>
      <c r="H33" s="5" t="s">
        <v>760</v>
      </c>
      <c r="I33" s="10"/>
      <c r="J33" s="5" t="s">
        <v>761</v>
      </c>
      <c r="K33" s="11" t="s">
        <v>762</v>
      </c>
      <c r="L33" s="11" t="s">
        <v>763</v>
      </c>
    </row>
    <row r="34" customFormat="false" ht="15" hidden="false" customHeight="false" outlineLevel="0" collapsed="false">
      <c r="A34" s="5" t="s">
        <v>12</v>
      </c>
      <c r="B34" s="5" t="s">
        <v>13</v>
      </c>
      <c r="C34" s="5" t="s">
        <v>822</v>
      </c>
      <c r="D34" s="5" t="s">
        <v>823</v>
      </c>
      <c r="E34" s="5" t="s">
        <v>824</v>
      </c>
      <c r="F34" s="10" t="n">
        <v>46205</v>
      </c>
      <c r="G34" s="6" t="n">
        <v>19.78</v>
      </c>
      <c r="H34" s="5" t="s">
        <v>760</v>
      </c>
      <c r="I34" s="10"/>
      <c r="J34" s="5" t="s">
        <v>761</v>
      </c>
      <c r="K34" s="11" t="s">
        <v>762</v>
      </c>
      <c r="L34" s="11" t="s">
        <v>763</v>
      </c>
    </row>
    <row r="35" customFormat="false" ht="15" hidden="false" customHeight="false" outlineLevel="0" collapsed="false">
      <c r="A35" s="5" t="s">
        <v>12</v>
      </c>
      <c r="B35" s="5" t="s">
        <v>13</v>
      </c>
      <c r="C35" s="5" t="s">
        <v>825</v>
      </c>
      <c r="D35" s="5" t="s">
        <v>826</v>
      </c>
      <c r="E35" s="5" t="s">
        <v>827</v>
      </c>
      <c r="F35" s="10" t="n">
        <v>46205</v>
      </c>
      <c r="G35" s="6" t="n">
        <v>143.08</v>
      </c>
      <c r="H35" s="5" t="s">
        <v>760</v>
      </c>
      <c r="I35" s="10"/>
      <c r="J35" s="5" t="s">
        <v>761</v>
      </c>
      <c r="K35" s="11" t="s">
        <v>762</v>
      </c>
      <c r="L35" s="11" t="s">
        <v>763</v>
      </c>
    </row>
    <row r="36" customFormat="false" ht="15" hidden="false" customHeight="false" outlineLevel="0" collapsed="false">
      <c r="A36" s="5" t="s">
        <v>12</v>
      </c>
      <c r="B36" s="5" t="s">
        <v>13</v>
      </c>
      <c r="C36" s="5" t="s">
        <v>828</v>
      </c>
      <c r="D36" s="5" t="s">
        <v>829</v>
      </c>
      <c r="E36" s="5" t="s">
        <v>827</v>
      </c>
      <c r="F36" s="10" t="n">
        <v>46205</v>
      </c>
      <c r="G36" s="6" t="n">
        <v>143.08</v>
      </c>
      <c r="H36" s="5" t="s">
        <v>760</v>
      </c>
      <c r="I36" s="10"/>
      <c r="J36" s="5" t="s">
        <v>761</v>
      </c>
      <c r="K36" s="11" t="s">
        <v>762</v>
      </c>
      <c r="L36" s="11" t="s">
        <v>763</v>
      </c>
    </row>
    <row r="37" customFormat="false" ht="15" hidden="false" customHeight="false" outlineLevel="0" collapsed="false">
      <c r="A37" s="5" t="s">
        <v>12</v>
      </c>
      <c r="B37" s="5" t="s">
        <v>13</v>
      </c>
      <c r="C37" s="5" t="s">
        <v>830</v>
      </c>
      <c r="D37" s="5" t="s">
        <v>831</v>
      </c>
      <c r="E37" s="5" t="s">
        <v>827</v>
      </c>
      <c r="F37" s="10" t="n">
        <v>46205</v>
      </c>
      <c r="G37" s="6" t="n">
        <v>300.98</v>
      </c>
      <c r="H37" s="5" t="s">
        <v>760</v>
      </c>
      <c r="I37" s="10"/>
      <c r="J37" s="5" t="s">
        <v>761</v>
      </c>
      <c r="K37" s="11" t="s">
        <v>762</v>
      </c>
      <c r="L37" s="11" t="s">
        <v>763</v>
      </c>
    </row>
    <row r="38" customFormat="false" ht="15" hidden="false" customHeight="false" outlineLevel="0" collapsed="false">
      <c r="A38" s="5" t="s">
        <v>12</v>
      </c>
      <c r="B38" s="5" t="s">
        <v>13</v>
      </c>
      <c r="C38" s="5" t="s">
        <v>832</v>
      </c>
      <c r="D38" s="5" t="s">
        <v>833</v>
      </c>
      <c r="E38" s="5" t="s">
        <v>827</v>
      </c>
      <c r="F38" s="10" t="n">
        <v>46205</v>
      </c>
      <c r="G38" s="6" t="n">
        <v>300</v>
      </c>
      <c r="H38" s="5" t="s">
        <v>760</v>
      </c>
      <c r="I38" s="10"/>
      <c r="J38" s="5" t="s">
        <v>761</v>
      </c>
      <c r="K38" s="11" t="s">
        <v>762</v>
      </c>
      <c r="L38" s="11" t="s">
        <v>763</v>
      </c>
    </row>
    <row r="39" customFormat="false" ht="15" hidden="false" customHeight="false" outlineLevel="0" collapsed="false">
      <c r="A39" s="5" t="s">
        <v>12</v>
      </c>
      <c r="B39" s="5" t="s">
        <v>13</v>
      </c>
      <c r="C39" s="5" t="s">
        <v>834</v>
      </c>
      <c r="D39" s="5" t="s">
        <v>835</v>
      </c>
      <c r="E39" s="5" t="s">
        <v>824</v>
      </c>
      <c r="F39" s="10" t="n">
        <v>46207</v>
      </c>
      <c r="G39" s="6" t="n">
        <v>1154.15</v>
      </c>
      <c r="H39" s="5" t="s">
        <v>760</v>
      </c>
      <c r="I39" s="10"/>
      <c r="J39" s="5" t="s">
        <v>761</v>
      </c>
      <c r="K39" s="11" t="s">
        <v>762</v>
      </c>
      <c r="L39" s="11" t="s">
        <v>763</v>
      </c>
    </row>
    <row r="40" customFormat="false" ht="15" hidden="false" customHeight="false" outlineLevel="0" collapsed="false">
      <c r="A40" s="5" t="s">
        <v>12</v>
      </c>
      <c r="B40" s="5" t="s">
        <v>13</v>
      </c>
      <c r="C40" s="5" t="s">
        <v>836</v>
      </c>
      <c r="D40" s="5" t="s">
        <v>837</v>
      </c>
      <c r="E40" s="5" t="s">
        <v>838</v>
      </c>
      <c r="F40" s="10" t="n">
        <v>46207</v>
      </c>
      <c r="G40" s="6" t="n">
        <v>92.1</v>
      </c>
      <c r="H40" s="5" t="s">
        <v>760</v>
      </c>
      <c r="I40" s="10"/>
      <c r="J40" s="5" t="s">
        <v>761</v>
      </c>
      <c r="K40" s="11" t="s">
        <v>762</v>
      </c>
      <c r="L40" s="11" t="s">
        <v>763</v>
      </c>
    </row>
    <row r="41" customFormat="false" ht="15" hidden="false" customHeight="false" outlineLevel="0" collapsed="false">
      <c r="A41" s="5" t="s">
        <v>12</v>
      </c>
      <c r="B41" s="5" t="s">
        <v>13</v>
      </c>
      <c r="C41" s="5" t="s">
        <v>839</v>
      </c>
      <c r="D41" s="5" t="s">
        <v>840</v>
      </c>
      <c r="E41" s="5" t="s">
        <v>792</v>
      </c>
      <c r="F41" s="10" t="n">
        <v>46231</v>
      </c>
      <c r="G41" s="6" t="n">
        <v>487.57</v>
      </c>
      <c r="H41" s="5" t="s">
        <v>760</v>
      </c>
      <c r="I41" s="10"/>
      <c r="J41" s="5" t="s">
        <v>761</v>
      </c>
      <c r="K41" s="11" t="s">
        <v>762</v>
      </c>
      <c r="L41" s="11" t="s">
        <v>763</v>
      </c>
    </row>
    <row r="42" customFormat="false" ht="15" hidden="false" customHeight="false" outlineLevel="0" collapsed="false">
      <c r="A42" s="5" t="s">
        <v>12</v>
      </c>
      <c r="B42" s="5" t="s">
        <v>13</v>
      </c>
      <c r="C42" s="5" t="s">
        <v>841</v>
      </c>
      <c r="D42" s="5" t="s">
        <v>842</v>
      </c>
      <c r="E42" s="5" t="s">
        <v>605</v>
      </c>
      <c r="F42" s="10" t="n">
        <v>46231</v>
      </c>
      <c r="G42" s="6" t="n">
        <v>673.53</v>
      </c>
      <c r="H42" s="5" t="s">
        <v>760</v>
      </c>
      <c r="I42" s="10"/>
      <c r="J42" s="5" t="s">
        <v>761</v>
      </c>
      <c r="K42" s="11" t="s">
        <v>762</v>
      </c>
      <c r="L42" s="11" t="s">
        <v>763</v>
      </c>
    </row>
    <row r="43" customFormat="false" ht="15" hidden="false" customHeight="false" outlineLevel="0" collapsed="false">
      <c r="A43" s="5" t="s">
        <v>12</v>
      </c>
      <c r="B43" s="5" t="s">
        <v>13</v>
      </c>
      <c r="C43" s="5" t="s">
        <v>843</v>
      </c>
      <c r="D43" s="5" t="s">
        <v>844</v>
      </c>
      <c r="E43" s="5" t="s">
        <v>614</v>
      </c>
      <c r="F43" s="10" t="n">
        <v>46254</v>
      </c>
      <c r="G43" s="6" t="n">
        <v>576.13</v>
      </c>
      <c r="H43" s="5" t="s">
        <v>760</v>
      </c>
      <c r="I43" s="10"/>
      <c r="J43" s="5" t="s">
        <v>761</v>
      </c>
      <c r="K43" s="11" t="s">
        <v>762</v>
      </c>
      <c r="L43" s="11" t="s">
        <v>763</v>
      </c>
    </row>
    <row r="44" customFormat="false" ht="15" hidden="false" customHeight="false" outlineLevel="0" collapsed="false">
      <c r="A44" s="5" t="s">
        <v>12</v>
      </c>
      <c r="B44" s="5" t="s">
        <v>13</v>
      </c>
      <c r="C44" s="5" t="s">
        <v>845</v>
      </c>
      <c r="D44" s="5" t="s">
        <v>846</v>
      </c>
      <c r="E44" s="5" t="s">
        <v>614</v>
      </c>
      <c r="F44" s="10" t="n">
        <v>46261</v>
      </c>
      <c r="G44" s="6" t="n">
        <v>741.48</v>
      </c>
      <c r="H44" s="5" t="s">
        <v>760</v>
      </c>
      <c r="I44" s="10"/>
      <c r="J44" s="5" t="s">
        <v>761</v>
      </c>
      <c r="K44" s="11" t="s">
        <v>762</v>
      </c>
      <c r="L44" s="11" t="s">
        <v>763</v>
      </c>
    </row>
    <row r="45" customFormat="false" ht="15" hidden="false" customHeight="false" outlineLevel="0" collapsed="false">
      <c r="A45" s="5" t="s">
        <v>12</v>
      </c>
      <c r="B45" s="5" t="s">
        <v>13</v>
      </c>
      <c r="C45" s="5" t="s">
        <v>847</v>
      </c>
      <c r="D45" s="5" t="s">
        <v>848</v>
      </c>
      <c r="E45" s="5" t="s">
        <v>849</v>
      </c>
      <c r="F45" s="10" t="n">
        <v>46273</v>
      </c>
      <c r="G45" s="6" t="n">
        <v>2518.94</v>
      </c>
      <c r="H45" s="5" t="s">
        <v>760</v>
      </c>
      <c r="I45" s="10"/>
      <c r="J45" s="5" t="s">
        <v>761</v>
      </c>
      <c r="K45" s="11" t="s">
        <v>762</v>
      </c>
      <c r="L45" s="11" t="s">
        <v>763</v>
      </c>
    </row>
    <row r="46" customFormat="false" ht="15" hidden="false" customHeight="false" outlineLevel="0" collapsed="false">
      <c r="A46" s="5" t="s">
        <v>12</v>
      </c>
      <c r="B46" s="5" t="s">
        <v>13</v>
      </c>
      <c r="C46" s="5" t="s">
        <v>850</v>
      </c>
      <c r="D46" s="5" t="s">
        <v>851</v>
      </c>
      <c r="E46" s="5" t="s">
        <v>852</v>
      </c>
      <c r="F46" s="10" t="n">
        <v>46284</v>
      </c>
      <c r="G46" s="6" t="n">
        <v>841.73</v>
      </c>
      <c r="H46" s="5" t="s">
        <v>760</v>
      </c>
      <c r="I46" s="10"/>
      <c r="J46" s="5" t="s">
        <v>761</v>
      </c>
      <c r="K46" s="11" t="s">
        <v>762</v>
      </c>
      <c r="L46" s="11" t="s">
        <v>763</v>
      </c>
    </row>
    <row r="47" customFormat="false" ht="15" hidden="false" customHeight="false" outlineLevel="0" collapsed="false">
      <c r="A47" s="5" t="s">
        <v>12</v>
      </c>
      <c r="B47" s="5" t="s">
        <v>13</v>
      </c>
      <c r="C47" s="5" t="s">
        <v>853</v>
      </c>
      <c r="D47" s="5" t="s">
        <v>854</v>
      </c>
      <c r="E47" s="5" t="s">
        <v>631</v>
      </c>
      <c r="F47" s="10" t="n">
        <v>46284</v>
      </c>
      <c r="G47" s="6" t="n">
        <v>146.86</v>
      </c>
      <c r="H47" s="5" t="s">
        <v>760</v>
      </c>
      <c r="I47" s="10"/>
      <c r="J47" s="5" t="s">
        <v>761</v>
      </c>
      <c r="K47" s="11" t="s">
        <v>762</v>
      </c>
      <c r="L47" s="11" t="s">
        <v>763</v>
      </c>
    </row>
    <row r="48" customFormat="false" ht="15" hidden="false" customHeight="false" outlineLevel="0" collapsed="false">
      <c r="A48" s="5" t="s">
        <v>12</v>
      </c>
      <c r="B48" s="5" t="s">
        <v>13</v>
      </c>
      <c r="C48" s="5" t="s">
        <v>855</v>
      </c>
      <c r="D48" s="5" t="s">
        <v>856</v>
      </c>
      <c r="E48" s="5" t="s">
        <v>631</v>
      </c>
      <c r="F48" s="10" t="n">
        <v>46284</v>
      </c>
      <c r="G48" s="6" t="n">
        <v>146.86</v>
      </c>
      <c r="H48" s="5" t="s">
        <v>760</v>
      </c>
      <c r="I48" s="10"/>
      <c r="J48" s="5" t="s">
        <v>761</v>
      </c>
      <c r="K48" s="11" t="s">
        <v>762</v>
      </c>
      <c r="L48" s="11" t="s">
        <v>763</v>
      </c>
    </row>
    <row r="49" customFormat="false" ht="15" hidden="false" customHeight="false" outlineLevel="0" collapsed="false">
      <c r="A49" s="5" t="s">
        <v>12</v>
      </c>
      <c r="B49" s="5" t="s">
        <v>13</v>
      </c>
      <c r="C49" s="5" t="s">
        <v>857</v>
      </c>
      <c r="D49" s="5" t="s">
        <v>858</v>
      </c>
      <c r="E49" s="5" t="s">
        <v>852</v>
      </c>
      <c r="F49" s="10" t="n">
        <v>46284</v>
      </c>
      <c r="G49" s="6" t="n">
        <v>711.31</v>
      </c>
      <c r="H49" s="5" t="s">
        <v>760</v>
      </c>
      <c r="I49" s="10"/>
      <c r="J49" s="5" t="s">
        <v>761</v>
      </c>
      <c r="K49" s="11" t="s">
        <v>762</v>
      </c>
      <c r="L49" s="11" t="s">
        <v>763</v>
      </c>
    </row>
  </sheetData>
  <autoFilter ref="A3:L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2026-10-23T07:04:12Z</dcterms:created>
  <dc:creator>openpyxl</dc:creator>
  <dc:description/>
  <dc:language>en-US</dc:language>
  <cp:lastModifiedBy/>
  <dcterms:modified xsi:type="dcterms:W3CDTF">2026-10-23T07:04:12Z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