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G49 19Oct" sheetId="1" state="visible" r:id="rId1"/>
    <sheet xmlns:r="http://schemas.openxmlformats.org/officeDocument/2006/relationships" name="Sales Aug-Oct T41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7" customWidth="1" min="4" max="4"/>
    <col width="11" customWidth="1" min="5" max="5"/>
    <col width="11" customWidth="1" min="6" max="6"/>
    <col width="12" customWidth="1" min="7" max="7"/>
    <col width="10" customWidth="1" min="8" max="8"/>
    <col width="12" customWidth="1" min="9" max="9"/>
    <col width="18" customWidth="1" min="10" max="10"/>
    <col width="12" customWidth="1" min="11" max="11"/>
    <col width="14" customWidth="1" min="12" max="12"/>
    <col width="48" customWidth="1" min="13" max="13"/>
  </cols>
  <sheetData>
    <row r="1" ht="45" customHeight="1">
      <c r="A1" s="1" t="inlineStr">
        <is>
          <t>Category</t>
        </is>
      </c>
      <c r="B1" s="1" t="inlineStr">
        <is>
          <t>Part No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Avg cost $</t>
        </is>
      </c>
      <c r="F1" s="1" t="inlineStr">
        <is>
          <t>Sell price $</t>
        </is>
      </c>
      <c r="G1" s="1" t="inlineStr">
        <is>
          <t>Margin $/unit</t>
        </is>
      </c>
      <c r="H1" s="1" t="inlineStr">
        <is>
          <t>Margin %</t>
        </is>
      </c>
      <c r="I1" s="1" t="inlineStr">
        <is>
          <t>Stock cost $</t>
        </is>
      </c>
      <c r="J1" s="1" t="inlineStr">
        <is>
          <t>Incentive cap $/unit (25% of margin)</t>
        </is>
      </c>
      <c r="K1" s="1" t="inlineStr">
        <is>
          <t>Last sold</t>
        </is>
      </c>
      <c r="L1" s="1" t="inlineStr">
        <is>
          <t>Last purchased</t>
        </is>
      </c>
      <c r="M1" s="1" t="inlineStr">
        <is>
          <t>Note</t>
        </is>
      </c>
    </row>
    <row r="2">
      <c r="A2" t="inlineStr">
        <is>
          <t>Tyre</t>
        </is>
      </c>
      <c r="B2" t="inlineStr">
        <is>
          <t>ZZTIRE VALVE</t>
        </is>
      </c>
      <c r="C2" t="inlineStr">
        <is>
          <t>TIRE VALVE</t>
        </is>
      </c>
      <c r="D2" t="n">
        <v>38</v>
      </c>
      <c r="E2" s="2" t="n">
        <v>0.4</v>
      </c>
      <c r="F2" s="2" t="n">
        <v>0.5</v>
      </c>
      <c r="G2" s="2">
        <f>IF(F2="","",F2-E2)</f>
        <v/>
      </c>
      <c r="H2" s="3">
        <f>IF(OR(F2="",F2=0),"",G2/F2)</f>
        <v/>
      </c>
      <c r="I2" s="2">
        <f>D2*E2</f>
        <v/>
      </c>
      <c r="J2" s="2">
        <f>IF(OR(G2="",G2&lt;=0),"",ROUND(G2*0.25,2))</f>
        <v/>
      </c>
      <c r="K2" t="inlineStr">
        <is>
          <t>2026-10-14</t>
        </is>
      </c>
      <c r="L2" t="inlineStr">
        <is>
          <t>2026-10-05</t>
        </is>
      </c>
      <c r="M2" t="inlineStr"/>
    </row>
    <row r="3">
      <c r="A3" t="inlineStr">
        <is>
          <t>Tyre</t>
        </is>
      </c>
      <c r="B3" t="inlineStr">
        <is>
          <t>ZZ TIRE REPAIR KIT</t>
        </is>
      </c>
      <c r="C3" t="inlineStr">
        <is>
          <t>TIRE REPAIR KIT</t>
        </is>
      </c>
      <c r="D3" t="n">
        <v>3</v>
      </c>
      <c r="E3" s="2" t="n">
        <v>0.82</v>
      </c>
      <c r="F3" s="2" t="n">
        <v>0.5</v>
      </c>
      <c r="G3" s="2">
        <f>IF(F3="","",F3-E3)</f>
        <v/>
      </c>
      <c r="H3" s="3">
        <f>IF(OR(F3="",F3=0),"",G3/F3)</f>
        <v/>
      </c>
      <c r="I3" s="2">
        <f>D3*E3</f>
        <v/>
      </c>
      <c r="J3" s="2">
        <f>IF(OR(G3="",G3&lt;=0),"",ROUND(G3*0.25,2))</f>
        <v/>
      </c>
      <c r="K3" t="inlineStr">
        <is>
          <t>2026-10-19</t>
        </is>
      </c>
      <c r="L3" t="inlineStr">
        <is>
          <t>2026-06-29</t>
        </is>
      </c>
      <c r="M3" t="inlineStr"/>
    </row>
    <row r="4">
      <c r="A4" t="inlineStr">
        <is>
          <t>Tyre</t>
        </is>
      </c>
      <c r="B4" t="inlineStr">
        <is>
          <t>ZZFOAM BLACK</t>
        </is>
      </c>
      <c r="C4" t="inlineStr">
        <is>
          <t>TIRE BLACK FLUID</t>
        </is>
      </c>
      <c r="D4" t="n">
        <v>1</v>
      </c>
      <c r="E4" s="2" t="n">
        <v>30.96</v>
      </c>
      <c r="F4" s="2" t="n">
        <v>0</v>
      </c>
      <c r="G4" s="2">
        <f>IF(F4="","",F4-E4)</f>
        <v/>
      </c>
      <c r="H4" s="3">
        <f>IF(OR(F4="",F4=0),"",G4/F4)</f>
        <v/>
      </c>
      <c r="I4" s="2">
        <f>D4*E4</f>
        <v/>
      </c>
      <c r="J4" s="2">
        <f>IF(OR(G4="",G4&lt;=0),"",ROUND(G4*0.25,2))</f>
        <v/>
      </c>
      <c r="K4" t="inlineStr">
        <is>
          <t>2026-06-29</t>
        </is>
      </c>
      <c r="L4" t="inlineStr">
        <is>
          <t>2026-10-15</t>
        </is>
      </c>
      <c r="M4" t="inlineStr">
        <is>
          <t>Price 0.00 in G49 - check</t>
        </is>
      </c>
    </row>
    <row r="5">
      <c r="A5" t="inlineStr">
        <is>
          <t>Battery</t>
        </is>
      </c>
      <c r="B5" t="inlineStr">
        <is>
          <t>FTN2MZ10655D</t>
        </is>
      </c>
      <c r="C5" t="inlineStr">
        <is>
          <t>BATTERY 70AMP</t>
        </is>
      </c>
      <c r="D5" t="n">
        <v>3</v>
      </c>
      <c r="E5" s="2" t="n">
        <v>106.55</v>
      </c>
      <c r="F5" s="2" t="n">
        <v>113.06</v>
      </c>
      <c r="G5" s="2">
        <f>IF(F5="","",F5-E5)</f>
        <v/>
      </c>
      <c r="H5" s="3">
        <f>IF(OR(F5="",F5=0),"",G5/F5)</f>
        <v/>
      </c>
      <c r="I5" s="2">
        <f>D5*E5</f>
        <v/>
      </c>
      <c r="J5" s="2">
        <f>IF(OR(G5="",G5&lt;=0),"",ROUND(G5*0.25,2))</f>
        <v/>
      </c>
      <c r="K5" t="inlineStr">
        <is>
          <t>2026-10-13</t>
        </is>
      </c>
      <c r="L5" t="inlineStr">
        <is>
          <t>2026-10-13</t>
        </is>
      </c>
      <c r="M5" t="inlineStr"/>
    </row>
    <row r="6">
      <c r="A6" t="inlineStr">
        <is>
          <t>Battery</t>
        </is>
      </c>
      <c r="B6" t="inlineStr">
        <is>
          <t>WB-NS60L-46B24L</t>
        </is>
      </c>
      <c r="C6" t="inlineStr">
        <is>
          <t>BATTERY 400 CCA</t>
        </is>
      </c>
      <c r="D6" t="n">
        <v>2</v>
      </c>
      <c r="E6" s="2" t="n">
        <v>27.08</v>
      </c>
      <c r="F6" s="2" t="n">
        <v>27.08</v>
      </c>
      <c r="G6" s="2">
        <f>IF(F6="","",F6-E6)</f>
        <v/>
      </c>
      <c r="H6" s="3">
        <f>IF(OR(F6="",F6=0),"",G6/F6)</f>
        <v/>
      </c>
      <c r="I6" s="2">
        <f>D6*E6</f>
        <v/>
      </c>
      <c r="J6" s="2">
        <f>IF(OR(G6="",G6&lt;=0),"",ROUND(G6*0.25,2))</f>
        <v/>
      </c>
      <c r="K6" t="inlineStr">
        <is>
          <t>2026-10-14</t>
        </is>
      </c>
      <c r="L6" t="inlineStr">
        <is>
          <t>2026-10-14</t>
        </is>
      </c>
      <c r="M6" t="inlineStr"/>
    </row>
    <row r="7">
      <c r="A7" t="inlineStr">
        <is>
          <t>Battery</t>
        </is>
      </c>
      <c r="B7" t="inlineStr">
        <is>
          <t>WB-80D26R</t>
        </is>
      </c>
      <c r="C7" t="inlineStr">
        <is>
          <t>BATTERY 550 CCA</t>
        </is>
      </c>
      <c r="D7" t="n">
        <v>2</v>
      </c>
      <c r="E7" s="2" t="n">
        <v>39.22</v>
      </c>
      <c r="F7" s="2" t="n">
        <v>39.22</v>
      </c>
      <c r="G7" s="2">
        <f>IF(F7="","",F7-E7)</f>
        <v/>
      </c>
      <c r="H7" s="3">
        <f>IF(OR(F7="",F7=0),"",G7/F7)</f>
        <v/>
      </c>
      <c r="I7" s="2">
        <f>D7*E7</f>
        <v/>
      </c>
      <c r="J7" s="2">
        <f>IF(OR(G7="",G7&lt;=0),"",ROUND(G7*0.25,2))</f>
        <v/>
      </c>
      <c r="K7" t="inlineStr">
        <is>
          <t>2026-08-07</t>
        </is>
      </c>
      <c r="L7" t="inlineStr">
        <is>
          <t>2026-07-23</t>
        </is>
      </c>
      <c r="M7" t="inlineStr"/>
    </row>
    <row r="8">
      <c r="A8" t="inlineStr">
        <is>
          <t>Battery</t>
        </is>
      </c>
      <c r="B8" t="inlineStr">
        <is>
          <t>WB-80D26L</t>
        </is>
      </c>
      <c r="C8" t="inlineStr">
        <is>
          <t>BATTERY 550 CCA</t>
        </is>
      </c>
      <c r="D8" t="n">
        <v>2</v>
      </c>
      <c r="E8" s="2" t="n">
        <v>39.23</v>
      </c>
      <c r="F8" s="2" t="n">
        <v>64</v>
      </c>
      <c r="G8" s="2">
        <f>IF(F8="","",F8-E8)</f>
        <v/>
      </c>
      <c r="H8" s="3">
        <f>IF(OR(F8="",F8=0),"",G8/F8)</f>
        <v/>
      </c>
      <c r="I8" s="2">
        <f>D8*E8</f>
        <v/>
      </c>
      <c r="J8" s="2">
        <f>IF(OR(G8="",G8&lt;=0),"",ROUND(G8*0.25,2))</f>
        <v/>
      </c>
      <c r="K8" t="inlineStr">
        <is>
          <t>2026-06-01</t>
        </is>
      </c>
      <c r="L8" t="inlineStr">
        <is>
          <t>2026-08-14</t>
        </is>
      </c>
      <c r="M8" t="inlineStr"/>
    </row>
    <row r="9">
      <c r="A9" t="inlineStr">
        <is>
          <t>Battery</t>
        </is>
      </c>
      <c r="B9" t="inlineStr">
        <is>
          <t>WB-55D23L</t>
        </is>
      </c>
      <c r="C9" t="inlineStr">
        <is>
          <t>BATTERY 500 CCA</t>
        </is>
      </c>
      <c r="D9" t="n">
        <v>2</v>
      </c>
      <c r="E9" s="2" t="n">
        <v>35.15</v>
      </c>
      <c r="F9" s="2" t="n">
        <v>57</v>
      </c>
      <c r="G9" s="2">
        <f>IF(F9="","",F9-E9)</f>
        <v/>
      </c>
      <c r="H9" s="3">
        <f>IF(OR(F9="",F9=0),"",G9/F9)</f>
        <v/>
      </c>
      <c r="I9" s="2">
        <f>D9*E9</f>
        <v/>
      </c>
      <c r="J9" s="2">
        <f>IF(OR(G9="",G9&lt;=0),"",ROUND(G9*0.25,2))</f>
        <v/>
      </c>
      <c r="K9" t="inlineStr">
        <is>
          <t>2026-08-29</t>
        </is>
      </c>
      <c r="L9" t="inlineStr">
        <is>
          <t>2026-09-21</t>
        </is>
      </c>
      <c r="M9" t="inlineStr"/>
    </row>
    <row r="10">
      <c r="A10" t="inlineStr">
        <is>
          <t>Battery</t>
        </is>
      </c>
      <c r="B10" t="inlineStr">
        <is>
          <t>WB-DIN55-55559</t>
        </is>
      </c>
      <c r="C10" t="inlineStr">
        <is>
          <t>BATTERY 540 CCA</t>
        </is>
      </c>
      <c r="D10" t="n">
        <v>2</v>
      </c>
      <c r="E10" s="2" t="n">
        <v>33.5</v>
      </c>
      <c r="F10" s="2" t="n">
        <v>65.65000000000001</v>
      </c>
      <c r="G10" s="2">
        <f>IF(F10="","",F10-E10)</f>
        <v/>
      </c>
      <c r="H10" s="3">
        <f>IF(OR(F10="",F10=0),"",G10/F10)</f>
        <v/>
      </c>
      <c r="I10" s="2">
        <f>D10*E10</f>
        <v/>
      </c>
      <c r="J10" s="2">
        <f>IF(OR(G10="",G10&lt;=0),"",ROUND(G10*0.25,2))</f>
        <v/>
      </c>
      <c r="K10" t="inlineStr">
        <is>
          <t>2026-10-05</t>
        </is>
      </c>
      <c r="L10" t="inlineStr">
        <is>
          <t>2026-10-06</t>
        </is>
      </c>
      <c r="M10" t="inlineStr"/>
    </row>
    <row r="11">
      <c r="A11" t="inlineStr">
        <is>
          <t>Battery</t>
        </is>
      </c>
      <c r="B11" t="inlineStr">
        <is>
          <t>WB-DIN80-58043</t>
        </is>
      </c>
      <c r="C11" t="inlineStr">
        <is>
          <t>BATTERY 680 CCA</t>
        </is>
      </c>
      <c r="D11" t="n">
        <v>2</v>
      </c>
      <c r="E11" s="2" t="n">
        <v>42.22</v>
      </c>
      <c r="F11" s="2" t="n">
        <v>71.02</v>
      </c>
      <c r="G11" s="2">
        <f>IF(F11="","",F11-E11)</f>
        <v/>
      </c>
      <c r="H11" s="3">
        <f>IF(OR(F11="",F11=0),"",G11/F11)</f>
        <v/>
      </c>
      <c r="I11" s="2">
        <f>D11*E11</f>
        <v/>
      </c>
      <c r="J11" s="2">
        <f>IF(OR(G11="",G11&lt;=0),"",ROUND(G11*0.25,2))</f>
        <v/>
      </c>
      <c r="K11" t="inlineStr">
        <is>
          <t>2026-10-11</t>
        </is>
      </c>
      <c r="L11" t="inlineStr">
        <is>
          <t>2026-10-12</t>
        </is>
      </c>
      <c r="M11" t="inlineStr"/>
    </row>
    <row r="12">
      <c r="A12" t="inlineStr">
        <is>
          <t>Battery</t>
        </is>
      </c>
      <c r="B12" t="inlineStr">
        <is>
          <t>WB-95D31R</t>
        </is>
      </c>
      <c r="C12" t="inlineStr">
        <is>
          <t>BATTERY 700 CCA</t>
        </is>
      </c>
      <c r="D12" t="n">
        <v>1</v>
      </c>
      <c r="E12" s="2" t="n">
        <v>48.5</v>
      </c>
      <c r="F12" s="2" t="n">
        <v>48.5</v>
      </c>
      <c r="G12" s="2">
        <f>IF(F12="","",F12-E12)</f>
        <v/>
      </c>
      <c r="H12" s="3">
        <f>IF(OR(F12="",F12=0),"",G12/F12)</f>
        <v/>
      </c>
      <c r="I12" s="2">
        <f>D12*E12</f>
        <v/>
      </c>
      <c r="J12" s="2">
        <f>IF(OR(G12="",G12&lt;=0),"",ROUND(G12*0.25,2))</f>
        <v/>
      </c>
      <c r="K12" t="inlineStr">
        <is>
          <t>2026-10-15</t>
        </is>
      </c>
      <c r="L12" t="inlineStr">
        <is>
          <t>2026-10-02</t>
        </is>
      </c>
      <c r="M12" t="inlineStr"/>
    </row>
    <row r="13">
      <c r="A13" t="inlineStr">
        <is>
          <t>Battery</t>
        </is>
      </c>
      <c r="B13" t="inlineStr">
        <is>
          <t>FVP2EZ10655A</t>
        </is>
      </c>
      <c r="C13" t="inlineStr">
        <is>
          <t>BATTERY 760 CCA</t>
        </is>
      </c>
      <c r="D13" t="n">
        <v>1</v>
      </c>
      <c r="E13" s="2" t="n">
        <v>94.73</v>
      </c>
      <c r="F13" s="2" t="n">
        <v>151.08</v>
      </c>
      <c r="G13" s="2">
        <f>IF(F13="","",F13-E13)</f>
        <v/>
      </c>
      <c r="H13" s="3">
        <f>IF(OR(F13="",F13=0),"",G13/F13)</f>
        <v/>
      </c>
      <c r="I13" s="2">
        <f>D13*E13</f>
        <v/>
      </c>
      <c r="J13" s="2">
        <f>IF(OR(G13="",G13&lt;=0),"",ROUND(G13*0.25,2))</f>
        <v/>
      </c>
      <c r="K13" t="inlineStr">
        <is>
          <t>2026-08-20</t>
        </is>
      </c>
      <c r="L13" t="inlineStr">
        <is>
          <t>2026-08-29</t>
        </is>
      </c>
      <c r="M13" t="inlineStr"/>
    </row>
    <row r="14">
      <c r="A14" t="inlineStr">
        <is>
          <t>Battery</t>
        </is>
      </c>
      <c r="B14" t="inlineStr">
        <is>
          <t>WB-95D31L</t>
        </is>
      </c>
      <c r="C14" t="inlineStr">
        <is>
          <t>BATTERY 700 CCA</t>
        </is>
      </c>
      <c r="D14" t="n">
        <v>1</v>
      </c>
      <c r="E14" s="2" t="n">
        <v>48.57</v>
      </c>
      <c r="F14" s="2" t="n">
        <v>48.57</v>
      </c>
      <c r="G14" s="2">
        <f>IF(F14="","",F14-E14)</f>
        <v/>
      </c>
      <c r="H14" s="3">
        <f>IF(OR(F14="",F14=0),"",G14/F14)</f>
        <v/>
      </c>
      <c r="I14" s="2">
        <f>D14*E14</f>
        <v/>
      </c>
      <c r="J14" s="2">
        <f>IF(OR(G14="",G14&lt;=0),"",ROUND(G14*0.25,2))</f>
        <v/>
      </c>
      <c r="K14" t="inlineStr">
        <is>
          <t>2026-10-19</t>
        </is>
      </c>
      <c r="L14" t="inlineStr">
        <is>
          <t>2026-10-14</t>
        </is>
      </c>
      <c r="M14" t="inlineStr"/>
    </row>
    <row r="15">
      <c r="A15" t="inlineStr">
        <is>
          <t>Perfume</t>
        </is>
      </c>
      <c r="B15" t="inlineStr">
        <is>
          <t>ZZ_AIR REFRESHER</t>
        </is>
      </c>
      <c r="C15" t="inlineStr">
        <is>
          <t>AIR REFRESHER WITH FORD LOGO</t>
        </is>
      </c>
      <c r="D15" t="n">
        <v>130</v>
      </c>
      <c r="E15" s="2" t="n">
        <v>1.8</v>
      </c>
      <c r="F15" s="2" t="n">
        <v>3.8</v>
      </c>
      <c r="G15" s="2">
        <f>IF(F15="","",F15-E15)</f>
        <v/>
      </c>
      <c r="H15" s="3">
        <f>IF(OR(F15="",F15=0),"",G15/F15)</f>
        <v/>
      </c>
      <c r="I15" s="2">
        <f>D15*E15</f>
        <v/>
      </c>
      <c r="J15" s="2">
        <f>IF(OR(G15="",G15&lt;=0),"",ROUND(G15*0.25,2))</f>
        <v/>
      </c>
      <c r="K15" t="inlineStr">
        <is>
          <t>2026-10-16</t>
        </is>
      </c>
      <c r="L15" t="inlineStr">
        <is>
          <t>2026-09-26</t>
        </is>
      </c>
      <c r="M15" t="inlineStr">
        <is>
          <t>Sell price $3.80 from T41 Oct (G49 shows 1.80)</t>
        </is>
      </c>
    </row>
    <row r="16">
      <c r="A16" t="inlineStr">
        <is>
          <t>A/C cleaning</t>
        </is>
      </c>
      <c r="B16" t="inlineStr">
        <is>
          <t>ZZ134</t>
        </is>
      </c>
      <c r="C16" t="inlineStr">
        <is>
          <t>ANTI-BACTERIAL LIQUID</t>
        </is>
      </c>
      <c r="D16" t="n">
        <v>29</v>
      </c>
      <c r="E16" s="2" t="n">
        <v>30.15</v>
      </c>
      <c r="F16" s="2" t="n">
        <v>45</v>
      </c>
      <c r="G16" s="2">
        <f>IF(F16="","",F16-E16)</f>
        <v/>
      </c>
      <c r="H16" s="3">
        <f>IF(OR(F16="",F16=0),"",G16/F16)</f>
        <v/>
      </c>
      <c r="I16" s="2">
        <f>D16*E16</f>
        <v/>
      </c>
      <c r="J16" s="2">
        <f>IF(OR(G16="",G16&lt;=0),"",ROUND(G16*0.25,2))</f>
        <v/>
      </c>
      <c r="K16" t="inlineStr">
        <is>
          <t>2026-10-16</t>
        </is>
      </c>
      <c r="L16" t="inlineStr">
        <is>
          <t>2026-08-21</t>
        </is>
      </c>
      <c r="M16" t="inlineStr"/>
    </row>
    <row r="17">
      <c r="A17" t="inlineStr">
        <is>
          <t>A/C cleaning</t>
        </is>
      </c>
      <c r="B17" t="inlineStr">
        <is>
          <t>AMHHUY23602</t>
        </is>
      </c>
      <c r="C17" t="inlineStr">
        <is>
          <t>COIL CLEANER</t>
        </is>
      </c>
      <c r="D17" t="n">
        <v>12</v>
      </c>
      <c r="E17" s="2" t="n">
        <v>6.19</v>
      </c>
      <c r="F17" s="2" t="n"/>
      <c r="G17" s="2">
        <f>IF(F17="","",F17-E17)</f>
        <v/>
      </c>
      <c r="H17" s="3">
        <f>IF(OR(F17="",F17=0),"",G17/F17)</f>
        <v/>
      </c>
      <c r="I17" s="2">
        <f>D17*E17</f>
        <v/>
      </c>
      <c r="J17" s="2">
        <f>IF(OR(G17="",G17&lt;=0),"",ROUND(G17*0.25,2))</f>
        <v/>
      </c>
      <c r="K17" t="inlineStr">
        <is>
          <t>2026-10-16</t>
        </is>
      </c>
      <c r="L17" t="inlineStr">
        <is>
          <t>2026-10-09</t>
        </is>
      </c>
      <c r="M17" t="inlineStr">
        <is>
          <t>G49 price looks wrong (0.79) - check Autoline price</t>
        </is>
      </c>
    </row>
    <row r="18">
      <c r="A18" t="inlineStr">
        <is>
          <t>A/C cleaning</t>
        </is>
      </c>
      <c r="B18" t="inlineStr">
        <is>
          <t>ZZ87139-0K070</t>
        </is>
      </c>
      <c r="C18" t="inlineStr">
        <is>
          <t>POLLEN FILTER REVO</t>
        </is>
      </c>
      <c r="D18" t="n">
        <v>15</v>
      </c>
      <c r="E18" s="2" t="n">
        <v>4.17</v>
      </c>
      <c r="F18" s="2" t="n">
        <v>4.18</v>
      </c>
      <c r="G18" s="2">
        <f>IF(F18="","",F18-E18)</f>
        <v/>
      </c>
      <c r="H18" s="3">
        <f>IF(OR(F18="",F18=0),"",G18/F18)</f>
        <v/>
      </c>
      <c r="I18" s="2">
        <f>D18*E18</f>
        <v/>
      </c>
      <c r="J18" s="2">
        <f>IF(OR(G18="",G18&lt;=0),"",ROUND(G18*0.25,2))</f>
        <v/>
      </c>
      <c r="K18" t="inlineStr">
        <is>
          <t>2026-10-14</t>
        </is>
      </c>
      <c r="L18" t="inlineStr">
        <is>
          <t>2026-02-19</t>
        </is>
      </c>
      <c r="M18" t="inlineStr"/>
    </row>
    <row r="19">
      <c r="A19" t="inlineStr">
        <is>
          <t>A/C cleaning</t>
        </is>
      </c>
      <c r="B19" t="inlineStr">
        <is>
          <t>FXHB3Z19N619B</t>
        </is>
      </c>
      <c r="C19" t="inlineStr">
        <is>
          <t>POLLEN FILTER, T6</t>
        </is>
      </c>
      <c r="D19" t="n">
        <v>15</v>
      </c>
      <c r="E19" s="2" t="n">
        <v>8.789999999999999</v>
      </c>
      <c r="F19" s="2" t="n">
        <v>14.12</v>
      </c>
      <c r="G19" s="2">
        <f>IF(F19="","",F19-E19)</f>
        <v/>
      </c>
      <c r="H19" s="3">
        <f>IF(OR(F19="",F19=0),"",G19/F19)</f>
        <v/>
      </c>
      <c r="I19" s="2">
        <f>D19*E19</f>
        <v/>
      </c>
      <c r="J19" s="2">
        <f>IF(OR(G19="",G19&lt;=0),"",ROUND(G19*0.25,2))</f>
        <v/>
      </c>
      <c r="K19" t="inlineStr">
        <is>
          <t>2026-10-16</t>
        </is>
      </c>
      <c r="L19" t="inlineStr">
        <is>
          <t>2026-10-19</t>
        </is>
      </c>
      <c r="M19" t="inlineStr"/>
    </row>
    <row r="20">
      <c r="A20" t="inlineStr">
        <is>
          <t>A/C cleaning</t>
        </is>
      </c>
      <c r="B20" t="inlineStr">
        <is>
          <t>FVEJS119G245BA</t>
        </is>
      </c>
      <c r="C20" t="inlineStr">
        <is>
          <t>POLLEN FILTER</t>
        </is>
      </c>
      <c r="D20" t="n">
        <v>1</v>
      </c>
      <c r="E20" s="2" t="n">
        <v>14.74</v>
      </c>
      <c r="F20" s="2" t="n">
        <v>26.67</v>
      </c>
      <c r="G20" s="2">
        <f>IF(F20="","",F20-E20)</f>
        <v/>
      </c>
      <c r="H20" s="3">
        <f>IF(OR(F20="",F20=0),"",G20/F20)</f>
        <v/>
      </c>
      <c r="I20" s="2">
        <f>D20*E20</f>
        <v/>
      </c>
      <c r="J20" s="2">
        <f>IF(OR(G20="",G20&lt;=0),"",ROUND(G20*0.25,2))</f>
        <v/>
      </c>
      <c r="K20" t="inlineStr">
        <is>
          <t>2026-01-27</t>
        </is>
      </c>
      <c r="L20" t="inlineStr">
        <is>
          <t>2025-07-25</t>
        </is>
      </c>
      <c r="M20" t="inlineStr">
        <is>
          <t>Slow - last sold Jan 2026</t>
        </is>
      </c>
    </row>
    <row r="21">
      <c r="A21" t="inlineStr">
        <is>
          <t>A/C cleaning</t>
        </is>
      </c>
      <c r="B21" t="inlineStr">
        <is>
          <t>ZZLAK292/S</t>
        </is>
      </c>
      <c r="C21" t="inlineStr">
        <is>
          <t>CABIN AIR FILTER</t>
        </is>
      </c>
      <c r="D21" t="n">
        <v>1</v>
      </c>
      <c r="E21" s="2" t="n">
        <v>83.84999999999999</v>
      </c>
      <c r="F21" s="2" t="n">
        <v>83.84999999999999</v>
      </c>
      <c r="G21" s="2">
        <f>IF(F21="","",F21-E21)</f>
        <v/>
      </c>
      <c r="H21" s="3">
        <f>IF(OR(F21="",F21=0),"",G21/F21)</f>
        <v/>
      </c>
      <c r="I21" s="2">
        <f>D21*E21</f>
        <v/>
      </c>
      <c r="J21" s="2">
        <f>IF(OR(G21="",G21&lt;=0),"",ROUND(G21*0.25,2))</f>
        <v/>
      </c>
      <c r="K21" t="inlineStr">
        <is>
          <t>2022-07-08</t>
        </is>
      </c>
      <c r="L21" t="inlineStr">
        <is>
          <t>2022-05-18</t>
        </is>
      </c>
      <c r="M21" t="inlineStr">
        <is>
          <t>Dead stock - last sold 2022</t>
        </is>
      </c>
    </row>
    <row r="22">
      <c r="A22" t="inlineStr">
        <is>
          <t>Injector cleaning</t>
        </is>
      </c>
      <c r="B22" t="inlineStr">
        <is>
          <t>ZZ136</t>
        </is>
      </c>
      <c r="C22" t="inlineStr">
        <is>
          <t>FUEL INJECTION LIQUID</t>
        </is>
      </c>
      <c r="D22" t="n">
        <v>33</v>
      </c>
      <c r="E22" s="2" t="n">
        <v>30.21</v>
      </c>
      <c r="F22" s="2" t="n">
        <v>45</v>
      </c>
      <c r="G22" s="2">
        <f>IF(F22="","",F22-E22)</f>
        <v/>
      </c>
      <c r="H22" s="3">
        <f>IF(OR(F22="",F22=0),"",G22/F22)</f>
        <v/>
      </c>
      <c r="I22" s="2">
        <f>D22*E22</f>
        <v/>
      </c>
      <c r="J22" s="2">
        <f>IF(OR(G22="",G22&lt;=0),"",ROUND(G22*0.25,2))</f>
        <v/>
      </c>
      <c r="K22" t="inlineStr">
        <is>
          <t>2026-09-14</t>
        </is>
      </c>
      <c r="L22" t="inlineStr">
        <is>
          <t>2026-10-07</t>
        </is>
      </c>
      <c r="M22" t="inlineStr"/>
    </row>
    <row r="23">
      <c r="A23" t="inlineStr">
        <is>
          <t>Injector cleaning</t>
        </is>
      </c>
      <c r="B23" t="inlineStr">
        <is>
          <t>ZZ137</t>
        </is>
      </c>
      <c r="C23" t="inlineStr">
        <is>
          <t>FUEL INJECTION LIQUID</t>
        </is>
      </c>
      <c r="D23" t="n">
        <v>14</v>
      </c>
      <c r="E23" s="2" t="n">
        <v>29.16</v>
      </c>
      <c r="F23" s="2" t="n">
        <v>45</v>
      </c>
      <c r="G23" s="2">
        <f>IF(F23="","",F23-E23)</f>
        <v/>
      </c>
      <c r="H23" s="3">
        <f>IF(OR(F23="",F23=0),"",G23/F23)</f>
        <v/>
      </c>
      <c r="I23" s="2">
        <f>D23*E23</f>
        <v/>
      </c>
      <c r="J23" s="2">
        <f>IF(OR(G23="",G23&lt;=0),"",ROUND(G23*0.25,2))</f>
        <v/>
      </c>
      <c r="L23" t="inlineStr">
        <is>
          <t>2024-12-19</t>
        </is>
      </c>
      <c r="M23" t="inlineStr">
        <is>
          <t>Never sold since Dec 2024 purchase</t>
        </is>
      </c>
    </row>
    <row r="24">
      <c r="A24" s="4" t="inlineStr">
        <is>
          <t>TOTAL</t>
        </is>
      </c>
      <c r="B24" s="4" t="inlineStr"/>
      <c r="C24" s="4" t="inlineStr"/>
      <c r="D24" s="4">
        <f>SUM(D2:D23)</f>
        <v/>
      </c>
      <c r="E24" s="4" t="inlineStr"/>
      <c r="F24" s="4" t="inlineStr"/>
      <c r="G24" s="4" t="inlineStr"/>
      <c r="H24" s="4" t="inlineStr"/>
      <c r="I24" s="5">
        <f>SUM(I2:I23)</f>
        <v/>
      </c>
      <c r="J24" s="4" t="n"/>
      <c r="K24" s="4" t="n"/>
      <c r="L24" s="4" t="n"/>
      <c r="M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  <col width="12" customWidth="1" min="8" max="8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WIPs</t>
        </is>
      </c>
      <c r="D1" s="1" t="inlineStr">
        <is>
          <t>Qty</t>
        </is>
      </c>
      <c r="E1" s="1" t="inlineStr">
        <is>
          <t>Sale $</t>
        </is>
      </c>
      <c r="F1" s="1" t="inlineStr">
        <is>
          <t>GP $</t>
        </is>
      </c>
      <c r="G1" s="1" t="inlineStr">
        <is>
          <t>GP %</t>
        </is>
      </c>
      <c r="H1" s="1" t="inlineStr">
        <is>
          <t>Sale $/WIP</t>
        </is>
      </c>
    </row>
    <row r="2">
      <c r="A2" t="inlineStr">
        <is>
          <t>A/C cleaning</t>
        </is>
      </c>
      <c r="B2" t="inlineStr">
        <is>
          <t>2026-08</t>
        </is>
      </c>
      <c r="C2" t="n">
        <v>38</v>
      </c>
      <c r="D2" t="n">
        <v>106</v>
      </c>
      <c r="E2" t="n">
        <v>597</v>
      </c>
      <c r="F2" t="n">
        <v>160</v>
      </c>
      <c r="G2" s="3">
        <f>IF(E2=0,"",F2/E2)</f>
        <v/>
      </c>
      <c r="H2" s="2">
        <f>IF(C2=0,"",E2/C2)</f>
        <v/>
      </c>
    </row>
    <row r="3">
      <c r="A3" t="inlineStr">
        <is>
          <t>A/C cleaning</t>
        </is>
      </c>
      <c r="B3" t="inlineStr">
        <is>
          <t>2026-09</t>
        </is>
      </c>
      <c r="C3" t="n">
        <v>27</v>
      </c>
      <c r="D3" t="n">
        <v>93</v>
      </c>
      <c r="E3" t="n">
        <v>389</v>
      </c>
      <c r="F3" t="n">
        <v>108</v>
      </c>
      <c r="G3" s="3">
        <f>IF(E3=0,"",F3/E3)</f>
        <v/>
      </c>
      <c r="H3" s="2">
        <f>IF(C3=0,"",E3/C3)</f>
        <v/>
      </c>
    </row>
    <row r="4">
      <c r="A4" t="inlineStr">
        <is>
          <t>A/C cleaning</t>
        </is>
      </c>
      <c r="B4" t="inlineStr">
        <is>
          <t>2026-10</t>
        </is>
      </c>
      <c r="C4" t="n">
        <v>29</v>
      </c>
      <c r="D4" t="n">
        <v>95</v>
      </c>
      <c r="E4" t="n">
        <v>789</v>
      </c>
      <c r="F4" t="n">
        <v>172</v>
      </c>
      <c r="G4" s="3">
        <f>IF(E4=0,"",F4/E4)</f>
        <v/>
      </c>
      <c r="H4" s="2">
        <f>IF(C4=0,"",E4/C4)</f>
        <v/>
      </c>
    </row>
    <row r="5">
      <c r="A5" t="inlineStr">
        <is>
          <t>Battery</t>
        </is>
      </c>
      <c r="B5" t="inlineStr">
        <is>
          <t>2026-08</t>
        </is>
      </c>
      <c r="C5" t="n">
        <v>17</v>
      </c>
      <c r="D5" t="n">
        <v>20</v>
      </c>
      <c r="E5" t="n">
        <v>958</v>
      </c>
      <c r="F5" t="n">
        <v>388</v>
      </c>
      <c r="G5" s="3">
        <f>IF(E5=0,"",F5/E5)</f>
        <v/>
      </c>
      <c r="H5" s="2">
        <f>IF(C5=0,"",E5/C5)</f>
        <v/>
      </c>
    </row>
    <row r="6">
      <c r="A6" t="inlineStr">
        <is>
          <t>Battery</t>
        </is>
      </c>
      <c r="B6" t="inlineStr">
        <is>
          <t>2026-09</t>
        </is>
      </c>
      <c r="C6" t="n">
        <v>20</v>
      </c>
      <c r="D6" t="n">
        <v>22</v>
      </c>
      <c r="E6" t="n">
        <v>1723</v>
      </c>
      <c r="F6" t="n">
        <v>511</v>
      </c>
      <c r="G6" s="3">
        <f>IF(E6=0,"",F6/E6)</f>
        <v/>
      </c>
      <c r="H6" s="2">
        <f>IF(C6=0,"",E6/C6)</f>
        <v/>
      </c>
    </row>
    <row r="7">
      <c r="A7" t="inlineStr">
        <is>
          <t>Battery</t>
        </is>
      </c>
      <c r="B7" t="inlineStr">
        <is>
          <t>2026-10</t>
        </is>
      </c>
      <c r="C7" t="n">
        <v>18</v>
      </c>
      <c r="D7" t="n">
        <v>22</v>
      </c>
      <c r="E7" t="n">
        <v>1156</v>
      </c>
      <c r="F7" t="n">
        <v>401</v>
      </c>
      <c r="G7" s="3">
        <f>IF(E7=0,"",F7/E7)</f>
        <v/>
      </c>
      <c r="H7" s="2">
        <f>IF(C7=0,"",E7/C7)</f>
        <v/>
      </c>
    </row>
    <row r="8">
      <c r="A8" t="inlineStr">
        <is>
          <t>Perfume</t>
        </is>
      </c>
      <c r="B8" t="inlineStr">
        <is>
          <t>2026-10</t>
        </is>
      </c>
      <c r="C8" t="n">
        <v>7</v>
      </c>
      <c r="D8" t="n">
        <v>15</v>
      </c>
      <c r="E8" t="n">
        <v>57</v>
      </c>
      <c r="F8" t="n">
        <v>30</v>
      </c>
      <c r="G8" s="3">
        <f>IF(E8=0,"",F8/E8)</f>
        <v/>
      </c>
      <c r="H8" s="2">
        <f>IF(C8=0,"",E8/C8)</f>
        <v/>
      </c>
    </row>
    <row r="9">
      <c r="A9" t="inlineStr">
        <is>
          <t>Tyre (valves/kits only)</t>
        </is>
      </c>
      <c r="B9" t="inlineStr">
        <is>
          <t>2026-08</t>
        </is>
      </c>
      <c r="C9" t="n">
        <v>24</v>
      </c>
      <c r="D9" t="n">
        <v>70</v>
      </c>
      <c r="E9" t="n">
        <v>219</v>
      </c>
      <c r="F9" t="n">
        <v>58</v>
      </c>
      <c r="G9" s="3">
        <f>IF(E9=0,"",F9/E9)</f>
        <v/>
      </c>
      <c r="H9" s="2">
        <f>IF(C9=0,"",E9/C9)</f>
        <v/>
      </c>
    </row>
    <row r="10">
      <c r="A10" t="inlineStr">
        <is>
          <t>Tyre (valves/kits only)</t>
        </is>
      </c>
      <c r="B10" t="inlineStr">
        <is>
          <t>2026-09</t>
        </is>
      </c>
      <c r="C10" t="n">
        <v>22</v>
      </c>
      <c r="D10" t="n">
        <v>55</v>
      </c>
      <c r="E10" t="n">
        <v>18</v>
      </c>
      <c r="F10" t="n">
        <v>2</v>
      </c>
      <c r="G10" s="3">
        <f>IF(E10=0,"",F10/E10)</f>
        <v/>
      </c>
      <c r="H10" s="2">
        <f>IF(C10=0,"",E10/C10)</f>
        <v/>
      </c>
    </row>
    <row r="11">
      <c r="A11" t="inlineStr">
        <is>
          <t>Tyre (valves/kits only)</t>
        </is>
      </c>
      <c r="B11" t="inlineStr">
        <is>
          <t>2026-10</t>
        </is>
      </c>
      <c r="C11" t="n">
        <v>12</v>
      </c>
      <c r="D11" t="n">
        <v>33</v>
      </c>
      <c r="E11" t="n">
        <v>16</v>
      </c>
      <c r="F11" t="n">
        <v>3</v>
      </c>
      <c r="G11" s="3">
        <f>IF(E11=0,"",F11/E11)</f>
        <v/>
      </c>
      <c r="H11" s="2">
        <f>IF(C11=0,"",E11/C11)</f>
        <v/>
      </c>
    </row>
    <row r="12">
      <c r="A12" t="inlineStr">
        <is>
          <t>Injector (incl. injector parts)</t>
        </is>
      </c>
      <c r="B12" t="inlineStr">
        <is>
          <t>2026-08</t>
        </is>
      </c>
      <c r="C12" t="n">
        <v>5</v>
      </c>
      <c r="D12" t="n">
        <v>8</v>
      </c>
      <c r="E12" t="n">
        <v>2915</v>
      </c>
      <c r="F12" t="n">
        <v>17</v>
      </c>
      <c r="G12" s="3">
        <f>IF(E12=0,"",F12/E12)</f>
        <v/>
      </c>
      <c r="H12" s="2">
        <f>IF(C12=0,"",E12/C12)</f>
        <v/>
      </c>
    </row>
    <row r="13">
      <c r="A13" t="inlineStr">
        <is>
          <t>Injector (incl. injector parts)</t>
        </is>
      </c>
      <c r="B13" t="inlineStr">
        <is>
          <t>2026-09</t>
        </is>
      </c>
      <c r="C13" t="n">
        <v>5</v>
      </c>
      <c r="D13" t="n">
        <v>9</v>
      </c>
      <c r="E13" t="n">
        <v>5997</v>
      </c>
      <c r="F13" t="n">
        <v>1231</v>
      </c>
      <c r="G13" s="3">
        <f>IF(E13=0,"",F13/E13)</f>
        <v/>
      </c>
      <c r="H13" s="2">
        <f>IF(C13=0,"",E13/C13)</f>
        <v/>
      </c>
    </row>
    <row r="14">
      <c r="A14" t="inlineStr">
        <is>
          <t>Injector (incl. injector parts)</t>
        </is>
      </c>
      <c r="B14" t="inlineStr">
        <is>
          <t>2026-10</t>
        </is>
      </c>
      <c r="C14" t="n">
        <v>1</v>
      </c>
      <c r="D14" t="n">
        <v>2</v>
      </c>
      <c r="E14" t="n">
        <v>0</v>
      </c>
      <c r="F14" t="n">
        <v>0</v>
      </c>
      <c r="G14" s="3">
        <f>IF(E14=0,"",F14/E14)</f>
        <v/>
      </c>
      <c r="H14" s="2">
        <f>IF(C14=0,"",E14/C14)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Supabase ql_g49 (snapshot 2026-10-19, 647 lines) and ql_t41 (Aug-Oct 2026). Oct is month-to-date.</t>
        </is>
      </c>
    </row>
    <row r="2">
      <c r="A2" t="inlineStr">
        <is>
          <t>Stock list covers only the 5 focus groups: tyre, battery, perfume, A/C cleaning, injector cleaning.</t>
        </is>
      </c>
    </row>
    <row r="3">
      <c r="A3" t="inlineStr">
        <is>
          <t>G49 has 3 'tyre' lines only (valve, repair kit, tire-black fluid) - no complete tyres in stock.</t>
        </is>
      </c>
    </row>
    <row r="4">
      <c r="A4" t="inlineStr">
        <is>
          <t>Tyre sales in T41 are valves/repair kits only (~$16-219/month); whole tyres were not matched - check if sold under another description.</t>
        </is>
      </c>
    </row>
    <row r="5">
      <c r="A5" t="inlineStr">
        <is>
          <t>Injector sales row includes injector PARTS (thousands $), not just cleaning liquid. ZZ136/ZZ137 cleaning liquid sold Sep 2026 last.</t>
        </is>
      </c>
    </row>
    <row r="6">
      <c r="A6" t="inlineStr">
        <is>
          <t>Perfume sell price $3.80 is T41 average for Oct; incentive cap = 25% of margin (draft - needs Sasi/RMA approval).</t>
        </is>
      </c>
    </row>
    <row r="7">
      <c r="A7" t="inlineStr">
        <is>
          <t>Prices for cleaning liquids (ZZ134/ZZ136/ZZ137 = $45) are G49 values; confirm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2026-10-26T03:50:52Z</dcterms:created>
  <dcterms:modified xmlns:dcterms="http://purl.org/dc/terms/" xmlns:xsi="http://www.w3.org/2001/XMLSchema-instance" xsi:type="dcterms:W3CDTF">2026-10-26T03:50:52Z</dcterms:modified>
</cp:coreProperties>
</file>