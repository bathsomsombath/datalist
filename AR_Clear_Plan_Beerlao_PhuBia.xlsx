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r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<sst xmlns="http://schemas.openxmlformats.org/spreadsheetml/2006/main" count="58" uniqueCount="36">
  <si>
    <t xml:space="preserve">AR Clear Plan - Beerlao (B0002) &amp; Phu Bia (P0009)</t>
  </si>
  <si>
    <t xml:space="preserve">Source: Supabase ql_ar_aging snapshot 21 Oct 2026 (USD); ql_ar_track_v for CR stage. Plan dates are proposed.</t>
  </si>
  <si>
    <t xml:space="preserve">Customer</t>
  </si>
  <si>
    <t xml:space="preserve">#</t>
  </si>
  <si>
    <t xml:space="preserve">Action</t>
  </si>
  <si>
    <t xml:space="preserve">Amount (USD)</t>
  </si>
  <si>
    <t xml:space="preserve">Owner</t>
  </si>
  <si>
    <t xml:space="preserve">Due</t>
  </si>
  <si>
    <t xml:space="preserve">Status</t>
  </si>
  <si>
    <t xml:space="preserve">Beerlao B0002</t>
  </si>
  <si>
    <t xml:space="preserve">Chase PO backfill / issue missing POs with Salackchit (all 164 open docs)</t>
  </si>
  <si>
    <t xml:space="preserve">Sombath</t>
  </si>
  <si>
    <t xml:space="preserve">2026-10-31</t>
  </si>
  <si>
    <t xml:space="preserve">Open</t>
  </si>
  <si>
    <t xml:space="preserve">Clear over 90 days first (oldest Apr 2025)</t>
  </si>
  <si>
    <t xml:space="preserve">Clear 61-90 days</t>
  </si>
  <si>
    <t xml:space="preserve">2026-11-07</t>
  </si>
  <si>
    <t xml:space="preserve">Clear 31-60 days</t>
  </si>
  <si>
    <t xml:space="preserve">2026-11-14</t>
  </si>
  <si>
    <t xml:space="preserve">Send invoice + PO weekly into Beerlao payment run; check credit limit &amp; PO mismatches with Finance</t>
  </si>
  <si>
    <t xml:space="preserve">Sombath / Finance</t>
  </si>
  <si>
    <t xml:space="preserve">Weekly</t>
  </si>
  <si>
    <t xml:space="preserve">Phu Bia P0009</t>
  </si>
  <si>
    <t xml:space="preserve">Kitty makes CR with bank proof and emails Aek (42 docs waiting)</t>
  </si>
  <si>
    <t xml:space="preserve">Kitty</t>
  </si>
  <si>
    <t xml:space="preserve">2026-10-30</t>
  </si>
  <si>
    <t xml:space="preserve">Aek posts PV; Somnuck cuts invoices from AR outstanding</t>
  </si>
  <si>
    <t xml:space="preserve">Aek / Somnuck</t>
  </si>
  <si>
    <t xml:space="preserve">2026-11-02</t>
  </si>
  <si>
    <t xml:space="preserve">Chase 1-90 day overdue (30d 11,198.76 + 60d 485.13 + 90d 6,149.54)</t>
  </si>
  <si>
    <t xml:space="preserve">Send QT to Khamsamai before any new work starts (no new backlog)</t>
  </si>
  <si>
    <t xml:space="preserve">Ongoing</t>
  </si>
  <si>
    <t xml:space="preserve">Beerlao total AR</t>
  </si>
  <si>
    <t xml:space="preserve">Phu Bia total AR</t>
  </si>
  <si>
    <t xml:space="preserve">Combined</t>
  </si>
  <si>
    <t xml:space="preserve">Notes: Beerlao line 1 is the total balance (lines 2-4 are slices of it, not additive). Phu Bia line 2 is the same 42 docs as line 1. Blue = hardcoded from Supabase.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</si>
</sst>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"/>
    <col collapsed="false" customWidth="true" hidden="false" outlineLevel="0" max="3" min="3" style="0" width="70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1</v>
      </c>
      <c r="C5" s="4" t="s">
        <v>10</v>
      </c>
      <c r="D5" s="5" t="n">
        <v>62525.98</v>
      </c>
      <c r="E5" s="4" t="s">
        <v>11</v>
      </c>
      <c r="F5" s="4" t="s">
        <v>12</v>
      </c>
      <c r="G5" s="6" t="s">
        <v>13</v>
      </c>
    </row>
    <row r="6" customFormat="false" ht="15" hidden="false" customHeight="false" outlineLevel="0" collapsed="false">
      <c r="A6" s="4" t="s">
        <v>9</v>
      </c>
      <c r="B6" s="4" t="n">
        <v>2</v>
      </c>
      <c r="C6" s="4" t="s">
        <v>14</v>
      </c>
      <c r="D6" s="5" t="n">
        <v>27572.71</v>
      </c>
      <c r="E6" s="4" t="s">
        <v>11</v>
      </c>
      <c r="F6" s="4" t="s">
        <v>12</v>
      </c>
      <c r="G6" s="6" t="s">
        <v>13</v>
      </c>
    </row>
    <row r="7" customFormat="false" ht="15" hidden="false" customHeight="false" outlineLevel="0" collapsed="false">
      <c r="A7" s="4" t="s">
        <v>9</v>
      </c>
      <c r="B7" s="4" t="n">
        <v>3</v>
      </c>
      <c r="C7" s="4" t="s">
        <v>15</v>
      </c>
      <c r="D7" s="5" t="n">
        <v>3818.69</v>
      </c>
      <c r="E7" s="4" t="s">
        <v>11</v>
      </c>
      <c r="F7" s="4" t="s">
        <v>16</v>
      </c>
      <c r="G7" s="6" t="s">
        <v>13</v>
      </c>
    </row>
    <row r="8" customFormat="false" ht="15" hidden="false" customHeight="false" outlineLevel="0" collapsed="false">
      <c r="A8" s="4" t="s">
        <v>9</v>
      </c>
      <c r="B8" s="4" t="n">
        <v>4</v>
      </c>
      <c r="C8" s="4" t="s">
        <v>17</v>
      </c>
      <c r="D8" s="5" t="n">
        <v>7112.18</v>
      </c>
      <c r="E8" s="4" t="s">
        <v>11</v>
      </c>
      <c r="F8" s="4" t="s">
        <v>18</v>
      </c>
      <c r="G8" s="6" t="s">
        <v>13</v>
      </c>
    </row>
    <row r="9" customFormat="false" ht="23.85" hidden="false" customHeight="false" outlineLevel="0" collapsed="false">
      <c r="A9" s="4" t="s">
        <v>9</v>
      </c>
      <c r="B9" s="4" t="n">
        <v>5</v>
      </c>
      <c r="C9" s="4" t="s">
        <v>19</v>
      </c>
      <c r="D9" s="5"/>
      <c r="E9" s="4" t="s">
        <v>20</v>
      </c>
      <c r="F9" s="4" t="s">
        <v>21</v>
      </c>
      <c r="G9" s="6" t="s">
        <v>13</v>
      </c>
    </row>
    <row r="10" customFormat="false" ht="15" hidden="false" customHeight="false" outlineLevel="0" collapsed="false">
      <c r="A10" s="4" t="s">
        <v>22</v>
      </c>
      <c r="B10" s="4" t="n">
        <v>1</v>
      </c>
      <c r="C10" s="4" t="s">
        <v>23</v>
      </c>
      <c r="D10" s="5" t="n">
        <v>23766.86</v>
      </c>
      <c r="E10" s="4" t="s">
        <v>24</v>
      </c>
      <c r="F10" s="4" t="s">
        <v>25</v>
      </c>
      <c r="G10" s="6" t="s">
        <v>13</v>
      </c>
    </row>
    <row r="11" customFormat="false" ht="15" hidden="false" customHeight="false" outlineLevel="0" collapsed="false">
      <c r="A11" s="4" t="s">
        <v>22</v>
      </c>
      <c r="B11" s="4" t="n">
        <v>2</v>
      </c>
      <c r="C11" s="4" t="s">
        <v>26</v>
      </c>
      <c r="D11" s="5" t="n">
        <v>23766.86</v>
      </c>
      <c r="E11" s="4" t="s">
        <v>27</v>
      </c>
      <c r="F11" s="4" t="s">
        <v>28</v>
      </c>
      <c r="G11" s="6" t="s">
        <v>13</v>
      </c>
    </row>
    <row r="12" customFormat="false" ht="15" hidden="false" customHeight="false" outlineLevel="0" collapsed="false">
      <c r="A12" s="4" t="s">
        <v>22</v>
      </c>
      <c r="B12" s="4" t="n">
        <v>3</v>
      </c>
      <c r="C12" s="4" t="s">
        <v>29</v>
      </c>
      <c r="D12" s="5" t="n">
        <v>17833.43</v>
      </c>
      <c r="E12" s="4" t="s">
        <v>11</v>
      </c>
      <c r="F12" s="4" t="s">
        <v>16</v>
      </c>
      <c r="G12" s="6" t="s">
        <v>13</v>
      </c>
    </row>
    <row r="13" customFormat="false" ht="15" hidden="false" customHeight="false" outlineLevel="0" collapsed="false">
      <c r="A13" s="4" t="s">
        <v>22</v>
      </c>
      <c r="B13" s="4" t="n">
        <v>4</v>
      </c>
      <c r="C13" s="4" t="s">
        <v>30</v>
      </c>
      <c r="D13" s="5"/>
      <c r="E13" s="4" t="s">
        <v>11</v>
      </c>
      <c r="F13" s="4" t="s">
        <v>31</v>
      </c>
      <c r="G13" s="6" t="s">
        <v>13</v>
      </c>
    </row>
    <row r="15" customFormat="false" ht="15" hidden="false" customHeight="false" outlineLevel="0" collapsed="false">
      <c r="A15" s="7" t="s">
        <v>32</v>
      </c>
      <c r="D15" s="8" t="n">
        <f aca="false">D5</f>
        <v>62525.98</v>
      </c>
    </row>
    <row r="16" customFormat="false" ht="15" hidden="false" customHeight="false" outlineLevel="0" collapsed="false">
      <c r="A16" s="7" t="s">
        <v>33</v>
      </c>
      <c r="D16" s="9" t="n">
        <v>45845.31</v>
      </c>
    </row>
    <row r="17" customFormat="false" ht="15" hidden="false" customHeight="false" outlineLevel="0" collapsed="false">
      <c r="A17" s="7" t="s">
        <v>34</v>
      </c>
      <c r="D17" s="8" t="n">
        <f aca="false">D15+D16</f>
        <v>108371.29</v>
      </c>
    </row>
    <row r="19" customFormat="false" ht="15" hidden="false" customHeight="false" outlineLevel="0" collapsed="false">
      <c r="A19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2026-10-26T03:51:02Z</dcterms:created>
  <dc:creator>openpyxl</dc:creator>
  <dc:description/>
  <dc:language>en-US</dc:language>
  <cp:lastModifiedBy/>
  <dcterms:modified xsi:type="dcterms:W3CDTF">2026-10-26T03:51:02Z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