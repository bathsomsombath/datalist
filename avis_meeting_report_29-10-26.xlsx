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5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_(* #,##0_);_(* \(#,##0\);_(* \-??_);_(@_)"/>
    <numFmt numFmtId="166" formatCode="0.0%"/>
    <numFmt numFmtId="167" formatCode="_(* #,##0.00_);_(* \(#,##0.00\);_(* \-??_);_(@_)"/>
  </numFmts>
  <fonts count="6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2"/>
      <u val="single"/>
    </font>
    <font>
      <name val="Calibri"/>
      <charset val="1"/>
      <family val="2"/>
      <b val="1"/>
      <color theme="1"/>
      <sz val="11"/>
    </font>
    <font>
      <name val="Cambria"/>
      <charset val="1"/>
      <b val="1"/>
      <color rgb="FF0000FF"/>
      <sz val="11"/>
    </font>
    <font>
      <name val="Cambria"/>
      <charset val="1"/>
      <i val="1"/>
      <sz val="9"/>
    </font>
    <font>
      <name val="Calibri"/>
      <charset val="1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4" tint="0.7998901333658864"/>
        <bgColor rgb="FFCC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5" fillId="0" borderId="0"/>
    <xf numFmtId="167" fontId="5" fillId="0" borderId="0"/>
    <xf numFmtId="9" fontId="5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1">
      <alignment horizontal="center" vertical="center" wrapText="1"/>
    </xf>
    <xf numFmtId="15" fontId="0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2" fillId="2" borderId="1" pivotButton="0" quotePrefix="0" xfId="0"/>
    <xf numFmtId="0" fontId="2" fillId="2" borderId="2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15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1">
      <alignment horizontal="center" vertical="center" wrapText="1"/>
    </xf>
    <xf numFmtId="15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7" fontId="0" fillId="0" borderId="1" applyAlignment="1" pivotButton="0" quotePrefix="0" xfId="0">
      <alignment vertical="center" wrapText="1"/>
    </xf>
    <xf numFmtId="17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14" fontId="2" fillId="0" borderId="1" applyAlignment="1" pivotButton="0" quotePrefix="0" xfId="0">
      <alignment horizontal="left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15" fontId="0" fillId="0" borderId="1" applyAlignment="1" pivotButton="0" quotePrefix="0" xfId="0">
      <alignment vertical="center" wrapText="1"/>
    </xf>
    <xf numFmtId="0" fontId="2" fillId="0" borderId="1" applyAlignment="1" pivotButton="0" quotePrefix="1" xfId="0">
      <alignment horizontal="left"/>
    </xf>
    <xf numFmtId="165" fontId="0" fillId="0" borderId="0" applyAlignment="1" pivotButton="0" quotePrefix="0" xfId="1">
      <alignment horizontal="center" vertical="center" wrapText="1"/>
    </xf>
    <xf numFmtId="165" fontId="0" fillId="0" borderId="1" applyAlignment="1" pivotButton="0" quotePrefix="0" xfId="1">
      <alignment horizontal="center" vertical="center" wrapText="1"/>
    </xf>
    <xf numFmtId="166" fontId="0" fillId="0" borderId="1" applyAlignment="1" pivotButton="0" quotePrefix="0" xfId="2">
      <alignment horizontal="center" vertical="center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zoomScale="80" zoomScaleNormal="80" workbookViewId="0">
      <selection activeCell="I5" sqref="I5"/>
    </sheetView>
  </sheetViews>
  <sheetFormatPr baseColWidth="8" defaultColWidth="8.6328125" defaultRowHeight="14.5"/>
  <cols>
    <col width="4.08984375" customWidth="1" style="37" min="1" max="1"/>
    <col width="24.08984375" customWidth="1" style="37" min="2" max="2"/>
    <col width="11.36328125" customWidth="1" style="37" min="3" max="3"/>
    <col width="10.90625" customWidth="1" style="37" min="4" max="4"/>
    <col width="13.7265625" customWidth="1" style="37" min="5" max="5"/>
    <col width="14.36328125" customWidth="1" style="37" min="6" max="6"/>
    <col width="15.453125" customWidth="1" style="37" min="7" max="7"/>
    <col width="44.26953125" customWidth="1" style="37" min="8" max="8"/>
    <col width="44.54296875" customWidth="1" style="37" min="9" max="9"/>
    <col width="26" customWidth="1" style="37" min="10" max="10"/>
    <col width="14.453125" customWidth="1" style="37" min="11" max="11"/>
    <col width="29.81640625" customWidth="1" style="37" min="12" max="12"/>
  </cols>
  <sheetData>
    <row r="1" ht="15" customHeight="1" s="37">
      <c r="A1" s="39" t="inlineStr">
        <is>
          <t>Current VOR ( Vehicle Off Road )</t>
        </is>
      </c>
    </row>
    <row r="2" ht="28.5" customFormat="1" customHeight="1" s="4">
      <c r="A2" s="2" t="inlineStr">
        <is>
          <t>No.</t>
        </is>
      </c>
      <c r="B2" s="2" t="inlineStr">
        <is>
          <t>Model</t>
        </is>
      </c>
      <c r="C2" s="2" t="inlineStr">
        <is>
          <t>Plate No.</t>
        </is>
      </c>
      <c r="D2" s="2" t="inlineStr">
        <is>
          <t>Km.</t>
        </is>
      </c>
      <c r="E2" s="3" t="inlineStr">
        <is>
          <t>Break down Location</t>
        </is>
      </c>
      <c r="F2" s="2" t="inlineStr">
        <is>
          <t>Break down Date</t>
        </is>
      </c>
      <c r="G2" s="2" t="inlineStr">
        <is>
          <t>Current Location</t>
        </is>
      </c>
      <c r="H2" s="2" t="inlineStr">
        <is>
          <t>Vehicle issue</t>
        </is>
      </c>
      <c r="I2" s="2" t="inlineStr">
        <is>
          <t>Technical diagnossis</t>
        </is>
      </c>
      <c r="J2" s="2" t="inlineStr">
        <is>
          <t>Estimate ETD</t>
        </is>
      </c>
    </row>
    <row r="3" ht="14.25" customHeight="1" s="37">
      <c r="A3" s="5" t="n">
        <v>1</v>
      </c>
      <c r="B3" s="41" t="inlineStr">
        <is>
          <t>Ford Ranger</t>
        </is>
      </c>
      <c r="C3" s="41" t="inlineStr">
        <is>
          <t>2688</t>
        </is>
      </c>
      <c r="D3" s="5" t="n">
        <v>70146</v>
      </c>
      <c r="E3" s="6" t="inlineStr">
        <is>
          <t>Quick Lane</t>
        </is>
      </c>
      <c r="F3" s="36" t="n"/>
      <c r="G3" s="5" t="inlineStr">
        <is>
          <t>Quick Lane</t>
        </is>
      </c>
      <c r="H3" s="5" t="inlineStr">
        <is>
          <t>WIP 27543 — A/C door motor (FTMB3Z19E616J) + actuator motor (FTMB3Z19E616K). Oil service done.</t>
        </is>
      </c>
      <c r="I3" s="5" t="inlineStr">
        <is>
          <t>Parts supplied — ready to fit</t>
        </is>
      </c>
      <c r="J3" s="36" t="n">
        <v>46338</v>
      </c>
    </row>
    <row r="4" ht="14.25" customHeight="1" s="37">
      <c r="A4" s="5" t="n">
        <v>2</v>
      </c>
      <c r="B4" s="5" t="inlineStr">
        <is>
          <t>Mahindra</t>
        </is>
      </c>
      <c r="C4" s="5" t="inlineStr">
        <is>
          <t>2864-AV25</t>
        </is>
      </c>
      <c r="D4" s="5" t="n">
        <v>52149</v>
      </c>
      <c r="E4" s="6" t="inlineStr">
        <is>
          <t>Quick Lane</t>
        </is>
      </c>
      <c r="F4" s="36" t="n"/>
      <c r="G4" s="5" t="inlineStr">
        <is>
          <t>Quick Lane</t>
        </is>
      </c>
      <c r="H4" s="5" t="inlineStr">
        <is>
          <t>WIP 27670 — Auto transmission oil x7 (MM0701HAJ00041N)</t>
        </is>
      </c>
      <c r="I4" s="5" t="inlineStr">
        <is>
          <t>Parts on order</t>
        </is>
      </c>
      <c r="J4" s="36" t="inlineStr">
        <is>
          <t>TBC</t>
        </is>
      </c>
    </row>
    <row r="5" ht="14.25" customHeight="1" s="37">
      <c r="A5" s="5" t="n">
        <v>3</v>
      </c>
      <c r="B5" s="5" t="inlineStr">
        <is>
          <t>Ranger XLT 2.0 DCAB 4WD</t>
        </is>
      </c>
      <c r="C5" s="5" t="inlineStr">
        <is>
          <t>0179</t>
        </is>
      </c>
      <c r="D5" s="5" t="n">
        <v>39987</v>
      </c>
      <c r="E5" s="6" t="inlineStr">
        <is>
          <t>Quick Lane</t>
        </is>
      </c>
      <c r="F5" s="36" t="n"/>
      <c r="G5" s="5" t="inlineStr">
        <is>
          <t>Quick Lane</t>
        </is>
      </c>
      <c r="H5" s="5" t="inlineStr">
        <is>
          <t>WIP 27551 — Replace rod assy door latch x2 (FTN1WZ6043880D) + lock tailgate x2 (FTML3Z9943150C) + cable tailgate x2 (FTN1WZ6043052E). Total USD 83.36 incl VAT.</t>
        </is>
      </c>
      <c r="I5" s="5" t="inlineStr">
        <is>
          <t>Rod supplied; tailgate lock FOT/back order</t>
        </is>
      </c>
      <c r="J5" s="36" t="n">
        <v>46326</v>
      </c>
    </row>
    <row r="6">
      <c r="A6" s="8" t="n"/>
      <c r="B6" s="9" t="n"/>
      <c r="C6" s="10" t="n"/>
      <c r="D6" s="42" t="n"/>
      <c r="E6" s="12" t="n"/>
      <c r="F6" s="13" t="n"/>
      <c r="G6" s="4" t="n"/>
      <c r="H6" s="9" t="n"/>
      <c r="I6" s="9" t="n"/>
      <c r="J6" s="13" t="n"/>
    </row>
    <row r="7" ht="15" customHeight="1" s="37">
      <c r="A7" s="39" t="inlineStr">
        <is>
          <t>Last week VOR -repair details</t>
        </is>
      </c>
    </row>
    <row r="8">
      <c r="A8" s="15" t="inlineStr">
        <is>
          <t>No.</t>
        </is>
      </c>
      <c r="B8" s="15" t="inlineStr">
        <is>
          <t>Model</t>
        </is>
      </c>
      <c r="C8" s="15" t="inlineStr">
        <is>
          <t>Plate No.</t>
        </is>
      </c>
      <c r="D8" s="15" t="inlineStr">
        <is>
          <t>Km.</t>
        </is>
      </c>
      <c r="E8" s="16" t="inlineStr">
        <is>
          <t>Location</t>
        </is>
      </c>
      <c r="F8" s="15" t="inlineStr">
        <is>
          <t>Break down Date</t>
        </is>
      </c>
      <c r="G8" s="15" t="inlineStr">
        <is>
          <t>Current Location</t>
        </is>
      </c>
      <c r="H8" s="15" t="inlineStr">
        <is>
          <t>Vehicle issue</t>
        </is>
      </c>
      <c r="I8" s="15" t="inlineStr">
        <is>
          <t>Technical diagnossis</t>
        </is>
      </c>
      <c r="J8" s="15" t="inlineStr">
        <is>
          <t>Status</t>
        </is>
      </c>
    </row>
    <row r="9" ht="15" customHeight="1" s="37">
      <c r="A9" s="5" t="n">
        <v>1</v>
      </c>
      <c r="B9" s="5" t="n"/>
      <c r="C9" s="5" t="n"/>
      <c r="D9" s="5" t="n"/>
      <c r="E9" s="6" t="n"/>
      <c r="F9" s="7" t="n"/>
      <c r="G9" s="5" t="n"/>
      <c r="H9" s="5" t="n"/>
      <c r="I9" s="5" t="n"/>
      <c r="J9" s="7" t="n"/>
    </row>
    <row r="10" ht="14.25" customFormat="1" customHeight="1" s="19">
      <c r="A10" s="38" t="n"/>
      <c r="B10" s="25" t="n"/>
      <c r="C10" s="25" t="n"/>
      <c r="D10" s="25" t="n"/>
      <c r="E10" s="25" t="n"/>
      <c r="F10" s="25" t="n"/>
      <c r="G10" s="25" t="n"/>
      <c r="H10" s="25" t="n"/>
      <c r="I10" s="26" t="n"/>
      <c r="J10" s="18" t="n"/>
    </row>
    <row r="11">
      <c r="A11" s="38" t="n"/>
      <c r="B11" s="20" t="n"/>
      <c r="C11" s="21" t="n"/>
      <c r="D11" s="43" t="n"/>
      <c r="E11" s="23" t="n"/>
      <c r="F11" s="40" t="n"/>
      <c r="G11" s="25" t="n"/>
      <c r="H11" s="26" t="n"/>
      <c r="I11" s="20" t="n"/>
      <c r="J11" s="18" t="n"/>
    </row>
    <row r="12"/>
    <row r="13" ht="15" customHeight="1" s="37">
      <c r="A13" s="39" t="inlineStr">
        <is>
          <t>Parts related / Waiting approvals</t>
        </is>
      </c>
    </row>
    <row r="14">
      <c r="A14" s="15" t="inlineStr">
        <is>
          <t>No.</t>
        </is>
      </c>
      <c r="B14" s="15" t="inlineStr">
        <is>
          <t>Model</t>
        </is>
      </c>
      <c r="C14" s="15" t="inlineStr">
        <is>
          <t>Plate No.</t>
        </is>
      </c>
      <c r="D14" s="15" t="inlineStr">
        <is>
          <t>Km.</t>
        </is>
      </c>
      <c r="E14" s="24" t="inlineStr">
        <is>
          <t>Location</t>
        </is>
      </c>
      <c r="F14" s="24" t="inlineStr">
        <is>
          <t>Parts needed</t>
        </is>
      </c>
      <c r="G14" s="25" t="n"/>
      <c r="H14" s="26" t="n"/>
      <c r="I14" s="24" t="inlineStr">
        <is>
          <t>Status</t>
        </is>
      </c>
      <c r="J14" s="15" t="inlineStr">
        <is>
          <t>ETA</t>
        </is>
      </c>
    </row>
    <row r="15" ht="60" customHeight="1" s="37">
      <c r="A15" s="5" t="n">
        <v>1</v>
      </c>
      <c r="B15" s="41" t="inlineStr">
        <is>
          <t>Ford Ranger</t>
        </is>
      </c>
      <c r="C15" s="41" t="inlineStr">
        <is>
          <t>2688</t>
        </is>
      </c>
      <c r="D15" s="5" t="n">
        <v>70146</v>
      </c>
      <c r="E15" s="6" t="inlineStr">
        <is>
          <t>Quick Lane</t>
        </is>
      </c>
      <c r="F15" s="36" t="inlineStr">
        <is>
          <t>WIP 27543 — A/C door motor FTMB3Z19E616J + actuator motor FTMB3Z19E616K (order 14422). WIP also lists E616F/H — confirm.</t>
        </is>
      </c>
      <c r="G15" s="25" t="n"/>
      <c r="H15" s="26" t="n"/>
      <c r="I15" s="5" t="inlineStr">
        <is>
          <t>Supplied — ready to fit</t>
        </is>
      </c>
      <c r="J15" s="36" t="inlineStr">
        <is>
          <t>Received 20/10/26</t>
        </is>
      </c>
    </row>
    <row r="16" ht="60" customHeight="1" s="37">
      <c r="A16" s="5" t="n">
        <v>2</v>
      </c>
      <c r="B16" s="41" t="inlineStr">
        <is>
          <t>Mahindra</t>
        </is>
      </c>
      <c r="C16" s="41" t="inlineStr">
        <is>
          <t>2864-AV25</t>
        </is>
      </c>
      <c r="D16" s="5" t="n">
        <v>52149</v>
      </c>
      <c r="E16" s="6" t="inlineStr">
        <is>
          <t>Quick Lane</t>
        </is>
      </c>
      <c r="F16" s="36" t="inlineStr">
        <is>
          <t>WIP 27670 — Auto transmission oil x7 (MM0701HAJ00041N)</t>
        </is>
      </c>
      <c r="G16" s="25" t="n"/>
      <c r="H16" s="26" t="n"/>
      <c r="I16" s="5" t="inlineStr">
        <is>
          <t>Parts on order</t>
        </is>
      </c>
      <c r="J16" s="36" t="inlineStr">
        <is>
          <t>TBC</t>
        </is>
      </c>
    </row>
    <row r="17" ht="60" customHeight="1" s="37">
      <c r="A17" s="5" t="n">
        <v>3</v>
      </c>
      <c r="B17" s="41" t="inlineStr">
        <is>
          <t>Ranger XLT 2.0 DCAB 4WD</t>
        </is>
      </c>
      <c r="C17" s="41" t="inlineStr">
        <is>
          <t>0179</t>
        </is>
      </c>
      <c r="D17" s="5" t="n">
        <v>39987</v>
      </c>
      <c r="E17" s="6" t="inlineStr">
        <is>
          <t>Quick Lane</t>
        </is>
      </c>
      <c r="F17" s="36" t="inlineStr">
        <is>
          <t>WIP 27551 (order 14451) — Lock tailgate x2 (FTML3Z9943150C); Cable tailgate x2 (FTN1WZ6043052E). Rod assy (FTN1WZ6043880D) already supplied.</t>
        </is>
      </c>
      <c r="G17" s="25" t="n"/>
      <c r="H17" s="26" t="n"/>
      <c r="I17" s="5" t="inlineStr">
        <is>
          <t>Tailgate lock FOT/back order</t>
        </is>
      </c>
      <c r="J17" s="36" t="n">
        <v>46326</v>
      </c>
    </row>
    <row r="18" ht="29.25" customHeight="1" s="37">
      <c r="A18" s="39" t="inlineStr">
        <is>
          <t>Other pending discussions &amp; initiatives</t>
        </is>
      </c>
    </row>
    <row r="19" s="37">
      <c r="A19" s="15" t="inlineStr">
        <is>
          <t>No.</t>
        </is>
      </c>
      <c r="B19" s="15" t="inlineStr">
        <is>
          <t>Model</t>
        </is>
      </c>
      <c r="C19" s="15" t="inlineStr">
        <is>
          <t>Status</t>
        </is>
      </c>
      <c r="D19" s="24" t="inlineStr">
        <is>
          <t>Description</t>
        </is>
      </c>
      <c r="E19" s="25" t="n"/>
      <c r="F19" s="26" t="n"/>
      <c r="G19" s="24" t="inlineStr">
        <is>
          <t>Sollution</t>
        </is>
      </c>
      <c r="H19" s="25" t="n"/>
      <c r="I19" s="26" t="n"/>
      <c r="J19" s="15" t="inlineStr">
        <is>
          <t>Close date</t>
        </is>
      </c>
    </row>
    <row r="20" ht="15" customHeight="1" s="37">
      <c r="A20" s="38" t="n">
        <v>1</v>
      </c>
      <c r="B20" s="25" t="n"/>
      <c r="C20" s="25" t="n"/>
      <c r="D20" s="25" t="n"/>
      <c r="E20" s="25" t="n"/>
      <c r="F20" s="25" t="n"/>
      <c r="G20" s="25" t="n"/>
      <c r="H20" s="25" t="n"/>
      <c r="I20" s="26" t="n"/>
      <c r="J20" s="29" t="n"/>
    </row>
    <row r="21" s="37">
      <c r="A21" s="8" t="n"/>
      <c r="B21" s="9" t="n"/>
      <c r="C21" s="9" t="n"/>
      <c r="D21" s="28" t="n"/>
      <c r="E21" s="28" t="n"/>
      <c r="F21" s="28" t="n"/>
      <c r="G21" s="28" t="n"/>
      <c r="H21" s="28" t="n"/>
      <c r="I21" s="28" t="n"/>
      <c r="J21" s="30" t="n"/>
    </row>
    <row r="22" ht="15.5" customHeight="1" s="37">
      <c r="A22" s="39" t="inlineStr">
        <is>
          <t>VOR Percentage</t>
        </is>
      </c>
      <c r="J22" s="39" t="n"/>
    </row>
    <row r="23" ht="58" customHeight="1" s="37">
      <c r="A23" s="9" t="n"/>
      <c r="B23" s="2" t="inlineStr">
        <is>
          <t>Total AVIS Fleet</t>
        </is>
      </c>
      <c r="C23" s="2" t="inlineStr">
        <is>
          <t>Total vehicles Technically VOR</t>
        </is>
      </c>
      <c r="D23" s="26" t="n"/>
      <c r="E23" s="2" t="inlineStr">
        <is>
          <t>Total vehicles Non Technically VOR</t>
        </is>
      </c>
      <c r="F23" s="26" t="n"/>
      <c r="G23" s="9" t="n"/>
      <c r="H23" s="9" t="n"/>
      <c r="I23" s="9" t="n"/>
      <c r="J23" s="9" t="n"/>
    </row>
    <row r="24" s="37">
      <c r="A24" s="27" t="n"/>
      <c r="B24" s="31" t="n">
        <v>380</v>
      </c>
      <c r="C24" s="32" t="n">
        <v>3</v>
      </c>
      <c r="D24" s="44">
        <f>IFERROR(C24/B24,0)</f>
        <v/>
      </c>
      <c r="E24" s="34" t="n">
        <v>0</v>
      </c>
      <c r="F24" s="44">
        <f>IFERROR(E24/B24,0)</f>
        <v/>
      </c>
      <c r="G24" s="27" t="n"/>
      <c r="H24" s="27" t="n"/>
      <c r="I24" s="27" t="n"/>
      <c r="J24" s="27" t="n"/>
    </row>
    <row r="25" s="37">
      <c r="B25" s="35" t="inlineStr">
        <is>
          <t>Fleet total 380 = figure carried in the AVIS SOP - confirm with Ai Keo. Yellow cells = to fill.</t>
        </is>
      </c>
    </row>
  </sheetData>
  <mergeCells count="11">
    <mergeCell ref="A1:J1"/>
    <mergeCell ref="F11:H11"/>
    <mergeCell ref="F16:H16"/>
    <mergeCell ref="A10:I10"/>
    <mergeCell ref="F13:H13"/>
    <mergeCell ref="D18:F18"/>
    <mergeCell ref="G18:I18"/>
    <mergeCell ref="F17:H17"/>
    <mergeCell ref="F12:H12"/>
    <mergeCell ref="F15:H15"/>
    <mergeCell ref="A20:I20"/>
  </mergeCells>
  <pageMargins left="0.7" right="0.7" top="0.75" bottom="0.75" header="0.511811023622047" footer="0.511811023622047"/>
  <pageSetup orientation="landscape" paperSize="9" scale="7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2026-10-29T04:34:58Z</dcterms:modified>
  <cp:lastModifiedBy>Sombath Bounmany</cp:lastModifiedBy>
  <cp:revision>0</cp:revision>
</cp:coreProperties>
</file>